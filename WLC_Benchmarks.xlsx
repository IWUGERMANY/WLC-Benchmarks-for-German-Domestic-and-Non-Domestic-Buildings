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uillaume\OneDrive - KU Leuven\Dokumente\IWU\Literatur\LCA Benchmarks\"/>
    </mc:Choice>
  </mc:AlternateContent>
  <xr:revisionPtr revIDLastSave="0" documentId="13_ncr:1_{1C226AE0-2326-4874-B4AC-79E7368B0FDF}" xr6:coauthVersionLast="47" xr6:coauthVersionMax="47" xr10:uidLastSave="{00000000-0000-0000-0000-000000000000}"/>
  <bookViews>
    <workbookView xWindow="-28920" yWindow="-2010" windowWidth="29040" windowHeight="15720" tabRatio="759" xr2:uid="{00000000-000D-0000-FFFF-FFFF00000000}"/>
  </bookViews>
  <sheets>
    <sheet name="Benchmarks" sheetId="12" r:id="rId1"/>
    <sheet name="SIA 390" sheetId="22" r:id="rId2"/>
    <sheet name="NWG_Stat_JB" sheetId="17" r:id="rId3"/>
    <sheet name="ReWoTy" sheetId="23" r:id="rId4"/>
    <sheet name="Röck et al" sheetId="3" r:id="rId5"/>
    <sheet name="Abbildung" sheetId="7" state="hidden" r:id="rId6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8" i="12" l="1"/>
  <c r="AL20" i="12"/>
  <c r="AN20" i="12"/>
  <c r="G26" i="22"/>
  <c r="J26" i="22"/>
  <c r="G6" i="22"/>
  <c r="J6" i="22"/>
  <c r="J46" i="22"/>
  <c r="Q12" i="12"/>
  <c r="H17" i="3"/>
  <c r="AL15" i="12"/>
  <c r="F27" i="22"/>
  <c r="I27" i="22"/>
  <c r="F7" i="22"/>
  <c r="I7" i="22"/>
  <c r="I47" i="22"/>
  <c r="AJ14" i="12"/>
  <c r="AK14" i="12"/>
  <c r="F35" i="22"/>
  <c r="I35" i="22"/>
  <c r="F15" i="22"/>
  <c r="I15" i="22"/>
  <c r="I55" i="22"/>
  <c r="AJ21" i="12"/>
  <c r="AJ24" i="12"/>
  <c r="AJ23" i="12"/>
  <c r="AJ22" i="12"/>
  <c r="F39" i="22"/>
  <c r="I39" i="22"/>
  <c r="F19" i="22"/>
  <c r="I19" i="22"/>
  <c r="I59" i="22"/>
  <c r="AJ20" i="12"/>
  <c r="AJ19" i="12"/>
  <c r="AJ18" i="12"/>
  <c r="F29" i="22"/>
  <c r="I29" i="22"/>
  <c r="F9" i="22"/>
  <c r="I9" i="22"/>
  <c r="I49" i="22"/>
  <c r="F31" i="22"/>
  <c r="I31" i="22"/>
  <c r="F11" i="22"/>
  <c r="I11" i="22"/>
  <c r="I51" i="22"/>
  <c r="F33" i="22"/>
  <c r="I33" i="22"/>
  <c r="F13" i="22"/>
  <c r="I13" i="22"/>
  <c r="I53" i="22"/>
  <c r="AJ17" i="12"/>
  <c r="AJ16" i="12"/>
  <c r="AJ15" i="12"/>
  <c r="F25" i="22"/>
  <c r="I25" i="22"/>
  <c r="F5" i="22"/>
  <c r="I5" i="22"/>
  <c r="I45" i="22"/>
  <c r="AJ13" i="12"/>
  <c r="AJ12" i="12"/>
  <c r="F28" i="22"/>
  <c r="I28" i="22"/>
  <c r="F8" i="22"/>
  <c r="I8" i="22"/>
  <c r="I48" i="22"/>
  <c r="AI14" i="12"/>
  <c r="AI24" i="12"/>
  <c r="AI23" i="12"/>
  <c r="AI22" i="12"/>
  <c r="F36" i="22"/>
  <c r="I36" i="22"/>
  <c r="F16" i="22"/>
  <c r="I16" i="22"/>
  <c r="I56" i="22"/>
  <c r="AI21" i="12"/>
  <c r="F40" i="22"/>
  <c r="I40" i="22"/>
  <c r="F20" i="22"/>
  <c r="I20" i="22"/>
  <c r="I60" i="22"/>
  <c r="AI20" i="12"/>
  <c r="AI19" i="12"/>
  <c r="AI18" i="12"/>
  <c r="F30" i="22"/>
  <c r="I30" i="22"/>
  <c r="F10" i="22"/>
  <c r="I10" i="22"/>
  <c r="I50" i="22"/>
  <c r="F32" i="22"/>
  <c r="I32" i="22"/>
  <c r="F12" i="22"/>
  <c r="I12" i="22"/>
  <c r="I52" i="22"/>
  <c r="F34" i="22"/>
  <c r="I34" i="22"/>
  <c r="F14" i="22"/>
  <c r="I14" i="22"/>
  <c r="I54" i="22"/>
  <c r="AI17" i="12"/>
  <c r="AI16" i="12"/>
  <c r="AI15" i="12"/>
  <c r="F26" i="22"/>
  <c r="I26" i="22"/>
  <c r="F6" i="22"/>
  <c r="I6" i="22"/>
  <c r="I46" i="22"/>
  <c r="AI13" i="12"/>
  <c r="AI12" i="12"/>
  <c r="I12" i="3"/>
  <c r="AN16" i="12"/>
  <c r="H7" i="3"/>
  <c r="G35" i="22"/>
  <c r="J35" i="22"/>
  <c r="G15" i="22"/>
  <c r="J15" i="22"/>
  <c r="J55" i="22"/>
  <c r="R21" i="12"/>
  <c r="G39" i="22"/>
  <c r="J39" i="22"/>
  <c r="G19" i="22"/>
  <c r="J19" i="22"/>
  <c r="J59" i="22"/>
  <c r="R20" i="12"/>
  <c r="G29" i="22"/>
  <c r="J29" i="22"/>
  <c r="G9" i="22"/>
  <c r="J9" i="22"/>
  <c r="J49" i="22"/>
  <c r="G31" i="22"/>
  <c r="J31" i="22"/>
  <c r="G11" i="22"/>
  <c r="J11" i="22"/>
  <c r="J51" i="22"/>
  <c r="G33" i="22"/>
  <c r="J33" i="22"/>
  <c r="G13" i="22"/>
  <c r="J13" i="22"/>
  <c r="J53" i="22"/>
  <c r="R17" i="12"/>
  <c r="R16" i="12"/>
  <c r="G27" i="22"/>
  <c r="J27" i="22"/>
  <c r="G7" i="22"/>
  <c r="J7" i="22"/>
  <c r="J47" i="22"/>
  <c r="R15" i="12"/>
  <c r="G25" i="22"/>
  <c r="J25" i="22"/>
  <c r="G5" i="22"/>
  <c r="J5" i="22"/>
  <c r="J45" i="22"/>
  <c r="R14" i="12"/>
  <c r="R13" i="12"/>
  <c r="R24" i="12"/>
  <c r="R23" i="12"/>
  <c r="Q14" i="12"/>
  <c r="Q24" i="12"/>
  <c r="Q23" i="12"/>
  <c r="Q22" i="12"/>
  <c r="G36" i="22"/>
  <c r="J36" i="22"/>
  <c r="G16" i="22"/>
  <c r="J16" i="22"/>
  <c r="J56" i="22"/>
  <c r="Q21" i="12"/>
  <c r="G40" i="22"/>
  <c r="J40" i="22"/>
  <c r="G20" i="22"/>
  <c r="J20" i="22"/>
  <c r="J60" i="22"/>
  <c r="Q20" i="12"/>
  <c r="G30" i="22"/>
  <c r="J30" i="22"/>
  <c r="G10" i="22"/>
  <c r="J10" i="22"/>
  <c r="J50" i="22"/>
  <c r="G32" i="22"/>
  <c r="J32" i="22"/>
  <c r="G12" i="22"/>
  <c r="J12" i="22"/>
  <c r="J52" i="22"/>
  <c r="G34" i="22"/>
  <c r="J34" i="22"/>
  <c r="G14" i="22"/>
  <c r="J14" i="22"/>
  <c r="J54" i="22"/>
  <c r="Q17" i="12"/>
  <c r="Q19" i="12"/>
  <c r="Q18" i="12"/>
  <c r="Q16" i="12"/>
  <c r="G28" i="22"/>
  <c r="J28" i="22"/>
  <c r="G8" i="22"/>
  <c r="J8" i="22"/>
  <c r="J48" i="22"/>
  <c r="Q15" i="12"/>
  <c r="Q13" i="12"/>
  <c r="R12" i="12"/>
  <c r="H34" i="22"/>
  <c r="K34" i="22"/>
  <c r="H14" i="22"/>
  <c r="K14" i="22"/>
  <c r="K54" i="22"/>
  <c r="H25" i="22"/>
  <c r="K25" i="22"/>
  <c r="H5" i="22"/>
  <c r="K5" i="22"/>
  <c r="K45" i="22"/>
  <c r="H26" i="22"/>
  <c r="K26" i="22"/>
  <c r="H6" i="22"/>
  <c r="K6" i="22"/>
  <c r="K46" i="22"/>
  <c r="H27" i="22"/>
  <c r="K27" i="22"/>
  <c r="H7" i="22"/>
  <c r="K7" i="22"/>
  <c r="K47" i="22"/>
  <c r="H28" i="22"/>
  <c r="K28" i="22"/>
  <c r="H8" i="22"/>
  <c r="K8" i="22"/>
  <c r="K48" i="22"/>
  <c r="H29" i="22"/>
  <c r="K29" i="22"/>
  <c r="H9" i="22"/>
  <c r="K9" i="22"/>
  <c r="K49" i="22"/>
  <c r="H30" i="22"/>
  <c r="K30" i="22"/>
  <c r="H10" i="22"/>
  <c r="K10" i="22"/>
  <c r="K50" i="22"/>
  <c r="H31" i="22"/>
  <c r="K31" i="22"/>
  <c r="H11" i="22"/>
  <c r="K11" i="22"/>
  <c r="K51" i="22"/>
  <c r="H32" i="22"/>
  <c r="K32" i="22"/>
  <c r="H12" i="22"/>
  <c r="K12" i="22"/>
  <c r="K52" i="22"/>
  <c r="H33" i="22"/>
  <c r="K33" i="22"/>
  <c r="H13" i="22"/>
  <c r="K13" i="22"/>
  <c r="K53" i="22"/>
  <c r="H35" i="22"/>
  <c r="K35" i="22"/>
  <c r="H15" i="22"/>
  <c r="K15" i="22"/>
  <c r="K55" i="22"/>
  <c r="H36" i="22"/>
  <c r="K36" i="22"/>
  <c r="H16" i="22"/>
  <c r="K16" i="22"/>
  <c r="K56" i="22"/>
  <c r="G37" i="22"/>
  <c r="J37" i="22"/>
  <c r="G17" i="22"/>
  <c r="J17" i="22"/>
  <c r="J57" i="22"/>
  <c r="F37" i="22"/>
  <c r="H37" i="22"/>
  <c r="K37" i="22"/>
  <c r="F17" i="22"/>
  <c r="H17" i="22"/>
  <c r="K17" i="22"/>
  <c r="K57" i="22"/>
  <c r="G38" i="22"/>
  <c r="J38" i="22"/>
  <c r="G18" i="22"/>
  <c r="J18" i="22"/>
  <c r="J58" i="22"/>
  <c r="F38" i="22"/>
  <c r="H38" i="22"/>
  <c r="K38" i="22"/>
  <c r="F18" i="22"/>
  <c r="H18" i="22"/>
  <c r="K18" i="22"/>
  <c r="K58" i="22"/>
  <c r="H39" i="22"/>
  <c r="K39" i="22"/>
  <c r="H19" i="22"/>
  <c r="K19" i="22"/>
  <c r="K59" i="22"/>
  <c r="H40" i="22"/>
  <c r="K40" i="22"/>
  <c r="H20" i="22"/>
  <c r="K20" i="22"/>
  <c r="K60" i="22"/>
  <c r="I37" i="22"/>
  <c r="I17" i="22"/>
  <c r="I57" i="22"/>
  <c r="I38" i="22"/>
  <c r="I18" i="22"/>
  <c r="I58" i="22"/>
  <c r="E40" i="22"/>
  <c r="E39" i="22"/>
  <c r="E38" i="22"/>
  <c r="E37" i="22"/>
  <c r="E36" i="22"/>
  <c r="E35" i="22"/>
  <c r="E34" i="22"/>
  <c r="E33" i="22"/>
  <c r="E32" i="22"/>
  <c r="E31" i="22"/>
  <c r="E30" i="22"/>
  <c r="E29" i="22"/>
  <c r="E28" i="22"/>
  <c r="E27" i="22"/>
  <c r="E26" i="22"/>
  <c r="E25" i="22"/>
  <c r="AK12" i="12"/>
  <c r="I7" i="3"/>
  <c r="I9" i="3"/>
  <c r="I10" i="3"/>
  <c r="AN12" i="12"/>
  <c r="AM12" i="12"/>
  <c r="AK13" i="12"/>
  <c r="I8" i="3"/>
  <c r="AN13" i="12"/>
  <c r="AM13" i="12"/>
  <c r="I11" i="3"/>
  <c r="AN14" i="12"/>
  <c r="AM14" i="12"/>
  <c r="AK15" i="12"/>
  <c r="I13" i="3"/>
  <c r="AN17" i="12"/>
  <c r="AN15" i="12"/>
  <c r="AM15" i="12"/>
  <c r="AK16" i="12"/>
  <c r="AM16" i="12"/>
  <c r="AK17" i="12"/>
  <c r="AM17" i="12"/>
  <c r="AK18" i="12"/>
  <c r="AN18" i="12"/>
  <c r="AM18" i="12"/>
  <c r="AK19" i="12"/>
  <c r="I14" i="3"/>
  <c r="AN19" i="12"/>
  <c r="AM19" i="12"/>
  <c r="AK20" i="12"/>
  <c r="AM20" i="12"/>
  <c r="AK21" i="12"/>
  <c r="I16" i="3"/>
  <c r="AN21" i="12"/>
  <c r="AM21" i="12"/>
  <c r="AK22" i="12"/>
  <c r="AN22" i="12"/>
  <c r="AM22" i="12"/>
  <c r="AK23" i="12"/>
  <c r="AN23" i="12"/>
  <c r="AM23" i="12"/>
  <c r="AK24" i="12"/>
  <c r="AN24" i="12"/>
  <c r="AM24" i="12"/>
  <c r="I23" i="23"/>
  <c r="I24" i="23"/>
  <c r="I25" i="23"/>
  <c r="I26" i="23"/>
  <c r="T13" i="12"/>
  <c r="S13" i="12"/>
  <c r="S8" i="23"/>
  <c r="T8" i="23"/>
  <c r="U8" i="23"/>
  <c r="V8" i="23"/>
  <c r="W8" i="23"/>
  <c r="V13" i="12"/>
  <c r="U13" i="12"/>
  <c r="S14" i="12"/>
  <c r="S15" i="12"/>
  <c r="S16" i="12"/>
  <c r="S17" i="12"/>
  <c r="R18" i="12"/>
  <c r="S18" i="12"/>
  <c r="R19" i="12"/>
  <c r="S19" i="12"/>
  <c r="S20" i="12"/>
  <c r="S21" i="12"/>
  <c r="R22" i="12"/>
  <c r="S22" i="12"/>
  <c r="S23" i="12"/>
  <c r="S24" i="12"/>
  <c r="H23" i="23"/>
  <c r="H24" i="23"/>
  <c r="H25" i="23"/>
  <c r="H26" i="23"/>
  <c r="T12" i="12"/>
  <c r="S12" i="12"/>
  <c r="S5" i="23"/>
  <c r="T5" i="23"/>
  <c r="U5" i="23"/>
  <c r="V5" i="23"/>
  <c r="W5" i="23"/>
  <c r="V12" i="12"/>
  <c r="U12" i="12"/>
  <c r="E13" i="12"/>
  <c r="F13" i="12"/>
  <c r="H13" i="12"/>
  <c r="G13" i="12"/>
  <c r="J13" i="12"/>
  <c r="I13" i="12"/>
  <c r="E14" i="12"/>
  <c r="F14" i="12"/>
  <c r="G14" i="12"/>
  <c r="J14" i="12"/>
  <c r="I14" i="12"/>
  <c r="E15" i="12"/>
  <c r="F15" i="12"/>
  <c r="H15" i="12"/>
  <c r="G15" i="12"/>
  <c r="J15" i="12"/>
  <c r="I15" i="12"/>
  <c r="E16" i="12"/>
  <c r="F16" i="12"/>
  <c r="G16" i="12"/>
  <c r="J16" i="12"/>
  <c r="I16" i="12"/>
  <c r="E17" i="12"/>
  <c r="F17" i="12"/>
  <c r="G17" i="12"/>
  <c r="J17" i="12"/>
  <c r="I17" i="12"/>
  <c r="E18" i="12"/>
  <c r="F18" i="12"/>
  <c r="H18" i="12"/>
  <c r="G18" i="12"/>
  <c r="J18" i="12"/>
  <c r="I18" i="12"/>
  <c r="E19" i="12"/>
  <c r="F19" i="12"/>
  <c r="G19" i="12"/>
  <c r="J19" i="12"/>
  <c r="I19" i="12"/>
  <c r="E20" i="12"/>
  <c r="F20" i="12"/>
  <c r="H20" i="12"/>
  <c r="G20" i="12"/>
  <c r="J20" i="12"/>
  <c r="I20" i="12"/>
  <c r="E21" i="12"/>
  <c r="F21" i="12"/>
  <c r="G21" i="12"/>
  <c r="J21" i="12"/>
  <c r="I21" i="12"/>
  <c r="E22" i="12"/>
  <c r="F22" i="12"/>
  <c r="G22" i="12"/>
  <c r="J22" i="12"/>
  <c r="I22" i="12"/>
  <c r="E23" i="12"/>
  <c r="F23" i="12"/>
  <c r="G23" i="12"/>
  <c r="J23" i="12"/>
  <c r="I23" i="12"/>
  <c r="E24" i="12"/>
  <c r="F24" i="12"/>
  <c r="G24" i="12"/>
  <c r="J24" i="12"/>
  <c r="I24" i="12"/>
  <c r="E12" i="12"/>
  <c r="F12" i="12"/>
  <c r="H12" i="12"/>
  <c r="G12" i="12"/>
  <c r="J12" i="12"/>
  <c r="I12" i="12"/>
  <c r="S6" i="23"/>
  <c r="T6" i="23"/>
  <c r="U6" i="23"/>
  <c r="S7" i="23"/>
  <c r="T7" i="23"/>
  <c r="U7" i="23"/>
  <c r="S9" i="23"/>
  <c r="T9" i="23"/>
  <c r="U9" i="23"/>
  <c r="S10" i="23"/>
  <c r="T10" i="23"/>
  <c r="U10" i="23"/>
  <c r="V6" i="23"/>
  <c r="W6" i="23"/>
  <c r="V7" i="23"/>
  <c r="W7" i="23"/>
  <c r="V9" i="23"/>
  <c r="W9" i="23"/>
  <c r="V10" i="23"/>
  <c r="W10" i="23"/>
  <c r="AL12" i="12"/>
  <c r="H8" i="3"/>
  <c r="H9" i="3"/>
  <c r="H10" i="3"/>
  <c r="H11" i="3"/>
  <c r="H12" i="3"/>
  <c r="H13" i="3"/>
  <c r="H14" i="3"/>
  <c r="H15" i="3"/>
  <c r="H16" i="3"/>
  <c r="H18" i="3"/>
  <c r="H19" i="3"/>
  <c r="E20" i="22"/>
  <c r="E19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6" i="22"/>
  <c r="E5" i="22"/>
  <c r="AH22" i="12"/>
  <c r="D22" i="12"/>
  <c r="T22" i="12"/>
  <c r="AL21" i="12"/>
  <c r="AL22" i="12"/>
  <c r="H22" i="12"/>
  <c r="V22" i="12"/>
  <c r="AH23" i="12"/>
  <c r="D23" i="12"/>
  <c r="T23" i="12"/>
  <c r="AL23" i="12"/>
  <c r="H23" i="12"/>
  <c r="V23" i="12"/>
  <c r="AH24" i="12"/>
  <c r="D24" i="12"/>
  <c r="T24" i="12"/>
  <c r="AL24" i="12"/>
  <c r="H24" i="12"/>
  <c r="V24" i="12"/>
  <c r="AL17" i="12"/>
  <c r="AL14" i="12"/>
  <c r="T18" i="12"/>
  <c r="V21" i="12"/>
  <c r="T21" i="12"/>
  <c r="V20" i="12"/>
  <c r="T20" i="12"/>
  <c r="V19" i="12"/>
  <c r="T19" i="12"/>
  <c r="V18" i="12"/>
  <c r="V17" i="12"/>
  <c r="T17" i="12"/>
  <c r="V16" i="12"/>
  <c r="T16" i="12"/>
  <c r="V15" i="12"/>
  <c r="T15" i="12"/>
  <c r="V14" i="12"/>
  <c r="T14" i="12"/>
  <c r="AL13" i="12"/>
  <c r="D13" i="12"/>
  <c r="D14" i="12"/>
  <c r="D15" i="12"/>
  <c r="D16" i="12"/>
  <c r="D17" i="12"/>
  <c r="D18" i="12"/>
  <c r="D19" i="12"/>
  <c r="D20" i="12"/>
  <c r="D21" i="12"/>
  <c r="D12" i="12"/>
  <c r="U14" i="12"/>
  <c r="U15" i="12"/>
  <c r="U16" i="12"/>
  <c r="U17" i="12"/>
  <c r="U18" i="12"/>
  <c r="U19" i="12"/>
  <c r="U20" i="12"/>
  <c r="U21" i="12"/>
  <c r="U22" i="12"/>
  <c r="U23" i="12"/>
  <c r="U24" i="12"/>
  <c r="C23" i="3"/>
  <c r="I15" i="3"/>
  <c r="AL19" i="12"/>
  <c r="AL16" i="12"/>
  <c r="C24" i="3"/>
  <c r="I19" i="3"/>
  <c r="G19" i="3"/>
  <c r="I18" i="3"/>
  <c r="G18" i="3"/>
  <c r="I17" i="3"/>
  <c r="G17" i="3"/>
  <c r="G16" i="3"/>
  <c r="G15" i="3"/>
  <c r="G14" i="3"/>
  <c r="G13" i="3"/>
  <c r="G12" i="3"/>
  <c r="G11" i="3"/>
  <c r="G10" i="3"/>
  <c r="G9" i="3"/>
  <c r="G8" i="3"/>
  <c r="G7" i="3"/>
  <c r="H16" i="12"/>
  <c r="H19" i="12"/>
  <c r="H21" i="12"/>
  <c r="H14" i="12"/>
  <c r="H1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tc={89119FD1-22EC-492F-A5EF-B4B4695994C7}</author>
    <author>tc={71F4D4A2-3F1A-4966-AD21-366F8E3A5750}</author>
    <author>tc={D0423A2F-356C-4B30-B4F2-75E4FF340583}</author>
    <author>tc={9F11FFF2-9807-4FB7-A899-BB33E14D8183}</author>
    <author>tc={2B1994F7-F1AC-49A1-A8FA-3E72AFA8BADC}</author>
  </authors>
  <commentList>
    <comment ref="F2" authorId="0" shapeId="0" xr:uid="{89119FD1-22EC-492F-A5EF-B4B4695994C7}">
      <text>
        <t>[Threaded comment]
Your version of Excel allows you to read this threaded comment; however, any edits to it will get removed if the file is opened in a newer version of Excel. Learn more: https://go.microsoft.com/fwlink/?linkid=870924
Comment:
    Harmonization based on Röck et al. 2020 „Embodied GHG emissions of buildings – The hidden challenge for effective climate change mitigation“</t>
      </text>
    </comment>
    <comment ref="I2" authorId="1" shapeId="0" xr:uid="{71F4D4A2-3F1A-4966-AD21-366F8E3A5750}">
      <text>
        <t>[Threaded comment]
Your version of Excel allows you to read this threaded comment; however, any edits to it will get removed if the file is opened in a newer version of Excel. Learn more: https://go.microsoft.com/fwlink/?linkid=870924
Comment:
    Harmonization based on Röck et al. 2020 „Embodied GHG emissions of buildings – The hidden challenge for effective climate change mitigation“</t>
      </text>
    </comment>
    <comment ref="F22" authorId="2" shapeId="0" xr:uid="{D0423A2F-356C-4B30-B4F2-75E4FF340583}">
      <text>
        <t>[Threaded comment]
Your version of Excel allows you to read this threaded comment; however, any edits to it will get removed if the file is opened in a newer version of Excel. Learn more: https://go.microsoft.com/fwlink/?linkid=870924
Comment:
    Harmonization based on Röck et al. 2020 „Embodied GHG emissions of buildings – The hidden challenge for effective climate change mitigation“</t>
      </text>
    </comment>
    <comment ref="I22" authorId="3" shapeId="0" xr:uid="{9F11FFF2-9807-4FB7-A899-BB33E14D8183}">
      <text>
        <t>[Threaded comment]
Your version of Excel allows you to read this threaded comment; however, any edits to it will get removed if the file is opened in a newer version of Excel. Learn more: https://go.microsoft.com/fwlink/?linkid=870924
Comment:
    Harmonization based on Röck et al. 2020 „Embodied GHG emissions of buildings – The hidden challenge for effective climate change mitigation“</t>
      </text>
    </comment>
    <comment ref="I42" authorId="4" shapeId="0" xr:uid="{2B1994F7-F1AC-49A1-A8FA-3E72AFA8BADC}">
      <text>
        <t>[Threaded comment]
Your version of Excel allows you to read this threaded comment; however, any edits to it will get removed if the file is opened in a newer version of Excel. Learn more: https://go.microsoft.com/fwlink/?linkid=870924
Comment:
    Harmonization based on Röck et al. 2020 „Embodied GHG emissions of buildings – The hidden challenge for effective climate change mitigation“</t>
      </text>
    </comment>
  </commentList>
</comments>
</file>

<file path=xl/sharedStrings.xml><?xml version="1.0" encoding="utf-8"?>
<sst xmlns="http://schemas.openxmlformats.org/spreadsheetml/2006/main" count="573" uniqueCount="249">
  <si>
    <t>Wohnen</t>
  </si>
  <si>
    <t>gTHGE</t>
  </si>
  <si>
    <t>Single family house</t>
  </si>
  <si>
    <t>Multi-family house</t>
  </si>
  <si>
    <t>Row house</t>
  </si>
  <si>
    <t>semi-detached</t>
  </si>
  <si>
    <t>Office</t>
  </si>
  <si>
    <t>Hospital and health</t>
  </si>
  <si>
    <t>School and daycare</t>
  </si>
  <si>
    <t>Sport and entertainment</t>
  </si>
  <si>
    <t>Hotel and resort</t>
  </si>
  <si>
    <t>Retail and restaurant</t>
  </si>
  <si>
    <t>Art and culture</t>
  </si>
  <si>
    <t>Mixed use</t>
  </si>
  <si>
    <t>Other</t>
  </si>
  <si>
    <t>Minimum</t>
  </si>
  <si>
    <t>Median</t>
  </si>
  <si>
    <t>Maximum</t>
  </si>
  <si>
    <t>kgCO2eq/m²</t>
  </si>
  <si>
    <t>WG</t>
  </si>
  <si>
    <t>NWG</t>
  </si>
  <si>
    <t>kgCO2eq/m²a (50 years)</t>
  </si>
  <si>
    <t>Röck et al -Towards embodied carbon benchmarks for buildings in Europe</t>
  </si>
  <si>
    <t>Anmerkungen</t>
  </si>
  <si>
    <t>MFH</t>
  </si>
  <si>
    <t>Büro-, Verwaltungs- oder Amtsgebäude</t>
  </si>
  <si>
    <t>Gebäude für Kultur und Freizeit</t>
  </si>
  <si>
    <t>Handelsgebäude</t>
  </si>
  <si>
    <t>Produktions-, Werkstatt-, Lager- oder Betriebsgebäude</t>
  </si>
  <si>
    <t>Harmonized means</t>
  </si>
  <si>
    <t xml:space="preserve"> </t>
  </si>
  <si>
    <t>alle NWG</t>
  </si>
  <si>
    <t>alle WG</t>
  </si>
  <si>
    <t>Gebäude für Forschung und Hochschullehre</t>
  </si>
  <si>
    <t>Gebäude für Gesundheit und Pflege</t>
  </si>
  <si>
    <t>Sportgebäude</t>
  </si>
  <si>
    <t>Technikgebäude (Ver- und Entsorgung)</t>
  </si>
  <si>
    <t>Verkehrsgebäude</t>
  </si>
  <si>
    <t>n</t>
  </si>
  <si>
    <t>g</t>
  </si>
  <si>
    <t>Hinweis</t>
  </si>
  <si>
    <t>hk_geb_BE_short</t>
  </si>
  <si>
    <t>mean</t>
  </si>
  <si>
    <t>median</t>
  </si>
  <si>
    <t>min</t>
  </si>
  <si>
    <t>max</t>
  </si>
  <si>
    <t>q1</t>
  </si>
  <si>
    <t>q3</t>
  </si>
  <si>
    <t>full_name</t>
  </si>
  <si>
    <t>BHRC</t>
  </si>
  <si>
    <t>Beherbergungs- oder Unterbringungsgebäude, Gastronomie- oder Verpflegungsgebäude</t>
  </si>
  <si>
    <t>CuLe</t>
  </si>
  <si>
    <t>HC</t>
  </si>
  <si>
    <t>OAGB</t>
  </si>
  <si>
    <t>PWWO</t>
  </si>
  <si>
    <t>RaUT</t>
  </si>
  <si>
    <t>SF</t>
  </si>
  <si>
    <t>Sch</t>
  </si>
  <si>
    <t>Schule, Kindertagesstätte und sonstiges Betreuungsgebäude</t>
  </si>
  <si>
    <t>TU</t>
  </si>
  <si>
    <t>Trade</t>
  </si>
  <si>
    <t>Trans</t>
  </si>
  <si>
    <t>b</t>
  </si>
  <si>
    <t>c</t>
  </si>
  <si>
    <t>d</t>
  </si>
  <si>
    <t>e</t>
  </si>
  <si>
    <t>f</t>
  </si>
  <si>
    <t>a</t>
  </si>
  <si>
    <t xml:space="preserve">GWP B6 in kg CO2eq /m2 * a </t>
  </si>
  <si>
    <t>Gas</t>
  </si>
  <si>
    <t>EZFH</t>
  </si>
  <si>
    <t>Büro</t>
  </si>
  <si>
    <t>Erstellung</t>
  </si>
  <si>
    <t>Betrieb</t>
  </si>
  <si>
    <t>Basis</t>
  </si>
  <si>
    <t>Ambitioniert</t>
  </si>
  <si>
    <t>Summe</t>
  </si>
  <si>
    <t>60 Jahre Bilanzierungszeitraum</t>
  </si>
  <si>
    <t>Mittelschule</t>
  </si>
  <si>
    <t>Hochschule</t>
  </si>
  <si>
    <t>Fachgeschäft</t>
  </si>
  <si>
    <t>Lebensmittelverkauf</t>
  </si>
  <si>
    <t>Restaurant</t>
  </si>
  <si>
    <t>Volksschule</t>
  </si>
  <si>
    <t>50 Jahre Bilanzierungszeitraum</t>
  </si>
  <si>
    <t>Average</t>
  </si>
  <si>
    <t>bldg_use_subtype</t>
  </si>
  <si>
    <t>count</t>
  </si>
  <si>
    <t>min_whisker</t>
  </si>
  <si>
    <t>max_whisker</t>
  </si>
  <si>
    <t>Art &amp; Culture</t>
  </si>
  <si>
    <t>Hospital and Health</t>
  </si>
  <si>
    <t>Hotel &amp; Resort</t>
  </si>
  <si>
    <t>Retail and Restaurant</t>
  </si>
  <si>
    <t>School and Daycare</t>
  </si>
  <si>
    <t>Semi-detached</t>
  </si>
  <si>
    <t>Sport &amp; Entertainment</t>
  </si>
  <si>
    <t>Raw data</t>
  </si>
  <si>
    <t>not enough data in Röcks original dataset (1, so use of the dataset of https://app.powerbi.com/view?r=eyJrIjoiZTFlOGFlMWMtNWI4NC00YWI2LWE5MGYtMzMzNzYzMjE2YTY4IiwidCI6ImM4ODIzYzkxLWJlODEtNGY4OS1iMDI0LTZjM2RkNzg5YzEwNiIsImMiOjh9&amp;pageName=71e5cd5bb290e8565659)</t>
  </si>
  <si>
    <t>THGE [kg/mEBF²a]</t>
  </si>
  <si>
    <r>
      <t>THGE [kg/m</t>
    </r>
    <r>
      <rPr>
        <b/>
        <sz val="11"/>
        <color theme="1"/>
        <rFont val="Calibri"/>
        <family val="2"/>
        <scheme val="minor"/>
      </rPr>
      <t>BGF</t>
    </r>
    <r>
      <rPr>
        <sz val="11"/>
        <color theme="1"/>
        <rFont val="Calibri"/>
        <family val="2"/>
        <scheme val="minor"/>
      </rPr>
      <t>²a]</t>
    </r>
  </si>
  <si>
    <t>alle BAK</t>
  </si>
  <si>
    <t>Basismodell 2025</t>
  </si>
  <si>
    <t>Grunddaten Gesamtbestand</t>
  </si>
  <si>
    <t>Wohnfläche Gesamtbestand</t>
  </si>
  <si>
    <t>10^6 m²</t>
  </si>
  <si>
    <t>Bilanzmodell: Endenergie Heizung gesamt</t>
  </si>
  <si>
    <t>Heizöl</t>
  </si>
  <si>
    <t>Kohle</t>
  </si>
  <si>
    <t>Biomasse (Holz)</t>
  </si>
  <si>
    <t>Fernwärme</t>
  </si>
  <si>
    <t>Strom</t>
  </si>
  <si>
    <t xml:space="preserve">Summe Endenergie </t>
  </si>
  <si>
    <r>
      <t>Treibhausgasemissionen (THG) [g CO</t>
    </r>
    <r>
      <rPr>
        <b/>
        <vertAlign val="subscript"/>
        <sz val="10"/>
        <color rgb="FFFFFFFF"/>
        <rFont val="Calibri"/>
        <family val="2"/>
        <scheme val="minor"/>
      </rPr>
      <t>2</t>
    </r>
    <r>
      <rPr>
        <b/>
        <sz val="10"/>
        <color rgb="FFFFFFFF"/>
        <rFont val="Calibri"/>
        <family val="2"/>
        <scheme val="minor"/>
      </rPr>
      <t>-Äqu./kWh</t>
    </r>
    <r>
      <rPr>
        <b/>
        <vertAlign val="subscript"/>
        <sz val="10"/>
        <color rgb="FFFFFFFF"/>
        <rFont val="Calibri"/>
        <family val="2"/>
        <scheme val="minor"/>
      </rPr>
      <t>End</t>
    </r>
    <r>
      <rPr>
        <b/>
        <sz val="10"/>
        <color rgb="FFFFFFFF"/>
        <rFont val="Calibri"/>
        <family val="2"/>
        <scheme val="minor"/>
      </rPr>
      <t>]</t>
    </r>
  </si>
  <si>
    <t>Erdgas</t>
  </si>
  <si>
    <t>(Braun-)Kohle</t>
  </si>
  <si>
    <t>Holz-Pellets</t>
  </si>
  <si>
    <t>Endenergie H + W bezogen auf Wohnfläche (Brennwert)</t>
  </si>
  <si>
    <t>kWh/(m²a)</t>
  </si>
  <si>
    <t>kg CO2-Äq./(m²a)</t>
  </si>
  <si>
    <t xml:space="preserve">bis 1978 </t>
  </si>
  <si>
    <t>1979 – 2001</t>
  </si>
  <si>
    <t>2002 – 2025</t>
  </si>
  <si>
    <t>bis 1978</t>
  </si>
  <si>
    <t>Nutzwärme-
Bedarf</t>
  </si>
  <si>
    <t>Heizung</t>
  </si>
  <si>
    <t>Warm-
wasser</t>
  </si>
  <si>
    <t>gesamt</t>
  </si>
  <si>
    <t>Nutzenergie</t>
  </si>
  <si>
    <t>Jahresnutzungsgrad Heizölkessel</t>
  </si>
  <si>
    <t>kg/mBGF²</t>
  </si>
  <si>
    <t>kg/mWfl²</t>
  </si>
  <si>
    <t>kg/mAcref²</t>
  </si>
  <si>
    <t>Acref</t>
  </si>
  <si>
    <t>BGF</t>
  </si>
  <si>
    <t>Hilfs-
energie (Strom)</t>
  </si>
  <si>
    <t>gesamt H+W</t>
  </si>
  <si>
    <t>Endenergie Heizöl H+W</t>
  </si>
  <si>
    <t>THGE</t>
  </si>
  <si>
    <t>Heizung+TWW</t>
  </si>
  <si>
    <t>Office, Administrative or Government Buildings</t>
  </si>
  <si>
    <t>Buildings for Research and University Teaching</t>
  </si>
  <si>
    <t>Buildings for Health and Care</t>
  </si>
  <si>
    <t>School, Day Nursery and other Care Buildings</t>
  </si>
  <si>
    <t>Buildings for Culture and Leisure</t>
  </si>
  <si>
    <t>Sports Facilities</t>
  </si>
  <si>
    <t>Hotels, Boarding, Restaurants or Catering</t>
  </si>
  <si>
    <t>Trade Buildings</t>
  </si>
  <si>
    <t>Production, Workshop, Warehouse or Operations</t>
  </si>
  <si>
    <t>Technical and Utility Buildings (supply and disposal)</t>
  </si>
  <si>
    <t>Transport Buildings</t>
  </si>
  <si>
    <t>Single- and two-family houses</t>
  </si>
  <si>
    <t>Multi-family houses</t>
  </si>
  <si>
    <t>residential</t>
  </si>
  <si>
    <t>non-residential</t>
  </si>
  <si>
    <r>
      <t>WLC emissions [kg CO</t>
    </r>
    <r>
      <rPr>
        <b/>
        <vertAlign val="subscript"/>
        <sz val="11"/>
        <rFont val="Calibri"/>
        <family val="2"/>
        <scheme val="minor"/>
      </rPr>
      <t>2</t>
    </r>
    <r>
      <rPr>
        <b/>
        <sz val="11"/>
        <rFont val="Calibri"/>
        <family val="2"/>
        <scheme val="minor"/>
      </rPr>
      <t>e/(m</t>
    </r>
    <r>
      <rPr>
        <b/>
        <vertAlign val="superscript"/>
        <sz val="11"/>
        <rFont val="Calibri"/>
        <family val="2"/>
        <scheme val="minor"/>
      </rPr>
      <t>2</t>
    </r>
    <r>
      <rPr>
        <b/>
        <sz val="11"/>
        <rFont val="Calibri"/>
        <family val="2"/>
        <scheme val="minor"/>
      </rPr>
      <t>·a)]</t>
    </r>
  </si>
  <si>
    <t>Target values for new constructions</t>
  </si>
  <si>
    <r>
      <rPr>
        <b/>
        <sz val="11"/>
        <color theme="1"/>
        <rFont val="Calibri"/>
        <family val="2"/>
        <scheme val="minor"/>
      </rPr>
      <t>50 Jahre</t>
    </r>
    <r>
      <rPr>
        <sz val="11"/>
        <color theme="1"/>
        <rFont val="Calibri"/>
        <family val="2"/>
        <scheme val="minor"/>
      </rPr>
      <t xml:space="preserve"> Bilanzierungszeitraum</t>
    </r>
  </si>
  <si>
    <t>Target values for renovations</t>
  </si>
  <si>
    <t>THGE [kg/mBGF²a]</t>
  </si>
  <si>
    <t>Target values - averaged for new constructions and renovations</t>
  </si>
  <si>
    <t>0 as a theoretical, ideal target</t>
  </si>
  <si>
    <t>Benchmark for operational emissions</t>
  </si>
  <si>
    <r>
      <rPr>
        <b/>
        <sz val="11"/>
        <color theme="1"/>
        <rFont val="Calibri"/>
        <family val="2"/>
        <scheme val="minor"/>
      </rPr>
      <t>Operational GHG emissions</t>
    </r>
    <r>
      <rPr>
        <sz val="11"/>
        <color theme="1"/>
        <rFont val="Calibri"/>
        <family val="2"/>
        <scheme val="minor"/>
      </rPr>
      <t xml:space="preserve"> in kg 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äq/(m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· a)</t>
    </r>
  </si>
  <si>
    <t>No target value available in the literature for this building type -&gt; Assumption: similar ambitious value as for schools</t>
  </si>
  <si>
    <t>No target value available in the literature for this building type -&gt; Assumption: similar to office buildings</t>
  </si>
  <si>
    <t>No target value available in the literature for this building type -&gt; Assumption: similar standard value as for schools</t>
  </si>
  <si>
    <t>Interpolation: average of c and e values</t>
  </si>
  <si>
    <t>[1]</t>
  </si>
  <si>
    <t>Stein, B., Loga, T., Müller, A., 2025. Repräsentative Typgebäude als Erweiterung der deutschen Wohngebäudetypologie. Schlussbericht. Zenodo. https://doi.org/10.5281/ZENODO.15482864</t>
  </si>
  <si>
    <t>[2]</t>
  </si>
  <si>
    <t>Hörner, M., Bischof, J., 2022. Building typology of the non-residential building stock in Germany – methodology and first results.</t>
  </si>
  <si>
    <t>Derived from [2] and own calcualtions</t>
  </si>
  <si>
    <t>Derived from [1] and own calculations</t>
  </si>
  <si>
    <t>Interpolation: average of e and g values</t>
  </si>
  <si>
    <t>Derived from [1] and own calculations, under the assumption that the limit value is represented by buildings of the oldest building age class (&lt;1978) and heated with heating oil</t>
  </si>
  <si>
    <t>Literature data</t>
  </si>
  <si>
    <t>Own assumptions due to lack of data</t>
  </si>
  <si>
    <t>Interpolation</t>
  </si>
  <si>
    <t>Legend</t>
  </si>
  <si>
    <t>References</t>
  </si>
  <si>
    <t>Method, references and assumptions</t>
  </si>
  <si>
    <t>Benchmark for embodied emissions</t>
  </si>
  <si>
    <r>
      <rPr>
        <b/>
        <sz val="11"/>
        <color theme="1"/>
        <rFont val="Calibri"/>
        <family val="2"/>
        <scheme val="minor"/>
      </rPr>
      <t>Embodied GHG emissions</t>
    </r>
    <r>
      <rPr>
        <sz val="11"/>
        <color theme="1"/>
        <rFont val="Calibri"/>
        <family val="2"/>
        <scheme val="minor"/>
      </rPr>
      <t xml:space="preserve"> in kg CO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äq/(m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· a)</t>
    </r>
  </si>
  <si>
    <t>EBF</t>
  </si>
  <si>
    <t>Concept</t>
  </si>
  <si>
    <t>Benchmark values</t>
  </si>
  <si>
    <t>GWP Benchmarks</t>
  </si>
  <si>
    <t>Whole Life Cycle Benchmarks</t>
  </si>
  <si>
    <t>[3]</t>
  </si>
  <si>
    <t>Schweizerischer Ingenieur- und Architektenverein (SIA), 2025. SIA 390/1:2025 Klimapfad - Treibhausgasbilanz über den Lebenszyklus von Gebäuden</t>
  </si>
  <si>
    <t>[4]</t>
  </si>
  <si>
    <t>Röck, M., Sørensen, A., Steinmann, J., Lynge, K., Horup, L.H., Tozan, B., Le Den, X., Birgisdottir, H., 2022. Towards embodied carbon benchmarks for buildings in Europe; Data source: https://github.com/mroeck/Embodied-Carbon-of-European-Buildings-Database</t>
  </si>
  <si>
    <t>Ambitious target value from SIA 390 [3], averaged for new constructions and renovations, and harmonized for RSP and gross floor area</t>
  </si>
  <si>
    <t>Ambitious target value for residential buildings from SIA 390 [3]</t>
  </si>
  <si>
    <t>Ambitious target value for office buildings from SIA 390 [3]</t>
  </si>
  <si>
    <t>No target value available in the literature for this building type -&gt; Assumption: Average ambitious target value of office buildings and schools from SIA 390 [3]</t>
  </si>
  <si>
    <t>No target value available in the literature for this building type -&gt; Assumption: Ambitious target value similar to the ones for restaurants from SIA 390 [3]</t>
  </si>
  <si>
    <t>Ambitious target value for schools from SIA 390 [3] (average of 3 types of schools)</t>
  </si>
  <si>
    <t>Ambitious target value for restaurants from SIA 390 [3]</t>
  </si>
  <si>
    <t>Ambitious target value for trade buildings from SIA 390 [3]</t>
  </si>
  <si>
    <t>Standard target value from SIA 390 [3], averaged for new constructions and renovations, and harmonized for RSP and gross floor area</t>
  </si>
  <si>
    <t>Standard target value for residential buildings from SIA 390 [3]</t>
  </si>
  <si>
    <t>Standard target value for office buildings from SIA 390 [3]</t>
  </si>
  <si>
    <t>No target value available in the literature for this building type -&gt; Assumption: Average standard target value of office buildings and schools from SIA 390 [3]</t>
  </si>
  <si>
    <t>No target value available in the literature for this building type -&gt; Assumption: Standard target value similar to the ones for restaurants from SIA 390 [3]</t>
  </si>
  <si>
    <t>Standard target value for schools from SIA 390 [3] (average of 3 types of schools)</t>
  </si>
  <si>
    <t>Standard target value for restaurants from SIA 390 [3]</t>
  </si>
  <si>
    <t>Standard target value for trade buildings from SIA 390 [3]</t>
  </si>
  <si>
    <t>Ambitious target value for residential buildings from SIA 390 [3], averaged for new constructions and renovations, and harmonized for RSP and gross floor area</t>
  </si>
  <si>
    <t>Ambitious target value for office builsings from SIA 390 [3], averaged for new constructions and renovations, and harmonized for RSP and gross floor area</t>
  </si>
  <si>
    <t>No target value available in the literature for this building type -&gt; Assumption: Same ambitious target value as the other non-residential buildings from SIA 390 [3]</t>
  </si>
  <si>
    <t>Ambitious target value from SIA 390 [3] for schools, averaged for new constructions and renovations, and harmonized for RSP and gross floor area</t>
  </si>
  <si>
    <t>Ambitious target value from SIA 390 [3] for restaurants, averaged for new constructions and renovations, and harmonized for RSP and gross floor area</t>
  </si>
  <si>
    <t>Ambitious target value from SIA 390 [3] for trade buildings, averaged for new constructions and renovations, and harmonized for RSP and gross floor area</t>
  </si>
  <si>
    <t>Standard target value for residential buildings from SIA 390 [3], averaged for new constructions and renovations, and harmonized for RSP and gross floor area</t>
  </si>
  <si>
    <t>Standard target value for office builsings from SIA 390 [3], averaged for new constructions and renovations, and harmonized for RSP and gross floor area</t>
  </si>
  <si>
    <t>No target value available in the literature for this building type -&gt; Assumption: Same standard target value as the other non-residential buildings from SIA 390 [3]</t>
  </si>
  <si>
    <t>Standard target value from SIA 390 [3] for schools, averaged for new constructions and renovations, and harmonized for RSP and gross floor area</t>
  </si>
  <si>
    <t>Standard target value from SIA 390 [3] for restaurants, averaged for new constructions and renovations, and harmonized for RSP and gross floor area</t>
  </si>
  <si>
    <t>Standard target value from SIA 390 [3] for trade buildings, averaged for new constructions and renovations, and harmonized for RSP and gross floor area</t>
  </si>
  <si>
    <t>Although the category "Hotel and resort" was analysed in hte study by Röck et al 2022 [4], too few datapoints are available -&gt; assumption: value similar to "health and care"</t>
  </si>
  <si>
    <t>No value available in the study from Röck et al. 2022 [4] for this category -&gt; Assumption: smilar value as for trade buildings -&gt; Similarities between Production buildings and trade buildings: large rooms, similar lighting and equipment</t>
  </si>
  <si>
    <t>No value available in the study from Röck et al. 2022 [4] for this category -&gt; Assumption: Average emissions similar to Production buildings -&gt; Similarities between Production buildings and technical buildings: large rooms, similar lighting</t>
  </si>
  <si>
    <t>No value available in the study from Röck et al. 2022 [4] for this category -&gt; Assumption: the emissions of trade buildings were taken as a reference and doubled, to take into account the higher structural requirements of transport buildings (e.g. for parking garages)</t>
  </si>
  <si>
    <t>few data available</t>
  </si>
  <si>
    <t>Average of the values from the categories "Single Family House", "Row House" an "Semi-Detached Houses" from the study from Röck et al 2022 - "Towards embodied carbon benchmarks for buildings in Europe" [4]</t>
  </si>
  <si>
    <t>Average value from the category "Multi family house" from the study from Röck et al 2022 - "Towards embodied carbon benchmarks for buildings in Europe" [4]</t>
  </si>
  <si>
    <t>Average value from the category "Office" from the study from Röck et al 2022 - "Towards embodied carbon benchmarks for buildings in Europe" [4]</t>
  </si>
  <si>
    <t>No value available in the study from Röck et al. 2022 [4] -&gt; Assumption: Average of the values of "Office" and "School"</t>
  </si>
  <si>
    <t>Average value from the category "Hospital and Health" from the study from Röck et al 2022 - "Towards embodied carbon benchmarks for buildings in Europe" [4]</t>
  </si>
  <si>
    <t>Average value from the category "School and Daycare"  from the study from Röck et al 2022 - "Towards embodied carbon benchmarks for buildings in Europe" [4]</t>
  </si>
  <si>
    <t>Average value from the category "Sport and Entertainment"  from the study from Röck et al 2022 - "Towards embodied carbon benchmarks for buildings in Europe" [4]</t>
  </si>
  <si>
    <t>Average value from the category "Retail and Restaurant"  from the study from Röck et al 2022 - "Towards embodied carbon benchmarks for buildings in Europe" [4]</t>
  </si>
  <si>
    <t>No value available in the study from Röck et al. 2022 [4] for this category -&gt; Assumption: similar average value as for "Trade Buildings -&gt; Similarities between Production buildings and trade buildings: large rooms, similar lighting and equipment</t>
  </si>
  <si>
    <t>No value available in the study from Röck et al. 2022 [4] for this category -&gt; Assumption: Similar average value to "Production buildings" -&gt; Similarities between Production buildings and technical buildings: large rooms, similar lighting</t>
  </si>
  <si>
    <t>No value available in the study from Röck et al. 2022 [4] for this category -&gt; Assumption: the average emissions of "Trade Buildings" were taken as a reference and doubled, to take into account the higher structural requirements of transport buildings (e.g. for parking garages)</t>
  </si>
  <si>
    <t>Average of the maximum values from the categories "Single Family House", "Row House" an "Semi-Detached Houses"from the study from Röck et al 2022 - "Towards embodied carbon benchmarks for buildings in Europe" [4]</t>
  </si>
  <si>
    <t>maximum value from the category "Multi Family House" from the study from Röck et al 2022 - "Towards embodied carbon benchmarks for buildings in Europe" [4]</t>
  </si>
  <si>
    <t>maximum value from the category "Office" from the study from Röck et al 2022 - "Towards embodied carbon benchmarks for buildings in Europe" [4]</t>
  </si>
  <si>
    <t>No value available in the study from Röck et al. 2022 [4] -&gt; Assumption: Average of the maximum values of "Office" and "School"</t>
  </si>
  <si>
    <t>maximum value from the category "Hospital and Health" from the study from Röck et al 2022 - "Towards embodied carbon benchmarks for buildings in Europe" [4]</t>
  </si>
  <si>
    <t>maximum value from the category "School and Daycare" from the study from Röck et al 2022 - "Towards embodied carbon benchmarks for buildings in Europe" [4]</t>
  </si>
  <si>
    <t>maximum value from the category "Sport and Entertainment" from the study from Röck et al 2022 - "Towards embodied carbon benchmarks for buildings in Europe" [4]</t>
  </si>
  <si>
    <t>maximum value from the category "Retail and Restaurant" from the study from Röck et al 2022 - "Towards embodied carbon benchmarks for buildings in Europe" [4]</t>
  </si>
  <si>
    <t>Although the category "Hotel and resort" was analysed in hte study by Röck et al 2022 [4], too few datapoints are available and the average is already very close to the target value -&gt; assumption: value similar to average of "Health and Care"</t>
  </si>
  <si>
    <t>Floor area harmonization factor</t>
  </si>
  <si>
    <t>Only a few data points available in the analysis by Röck et al. → Assumption: Average of the category ‘School and Daycare’ from the statistical analysis by Röck et al. 2022 [4] → Justification: typically larger rooms</t>
  </si>
  <si>
    <t>Only a few data points available in the analysis by Röck et al. → Assumption: Maximum value of the category ‘School and Daycare’ from the statistical analysis by Röck et al. 2022 [4] → Justification: typically larger rooms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</si>
</sst>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6" formatCode="#,##0.0"/>
    <numFmt numFmtId="167" formatCode="0;\-0;"/>
    <numFmt numFmtId="168" formatCode="0.0%"/>
  </numFmts>
  <fonts count="4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vertAlign val="subscript"/>
      <sz val="11"/>
      <name val="Calibri"/>
      <family val="2"/>
      <scheme val="minor"/>
    </font>
    <font>
      <b/>
      <vertAlign val="superscript"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80808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  <scheme val="minor"/>
    </font>
    <font>
      <b/>
      <vertAlign val="subscript"/>
      <sz val="10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7"/>
      <color theme="0"/>
      <name val="Calibri"/>
      <family val="2"/>
      <scheme val="minor"/>
    </font>
    <font>
      <sz val="8"/>
      <name val="Tahoma"/>
      <family val="2"/>
    </font>
    <font>
      <sz val="7"/>
      <color theme="0"/>
      <name val="Calibri"/>
      <family val="2"/>
      <scheme val="minor"/>
    </font>
    <font>
      <b/>
      <sz val="7"/>
      <name val="Calibri"/>
      <family val="2"/>
      <scheme val="minor"/>
    </font>
    <font>
      <sz val="7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7"/>
      <color rgb="FF969696"/>
      <name val="Calibri"/>
      <family val="2"/>
      <scheme val="minor"/>
    </font>
    <font>
      <sz val="10"/>
      <color theme="1"/>
      <name val="Georgia"/>
      <family val="1"/>
    </font>
    <font>
      <sz val="10"/>
      <name val="Georgia"/>
      <family val="1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4D4D4D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indexed="9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C0C0C0"/>
      </left>
      <right/>
      <top style="medium">
        <color rgb="FFC0C0C0"/>
      </top>
      <bottom style="medium">
        <color rgb="FFC0C0C0"/>
      </bottom>
      <diagonal/>
    </border>
    <border>
      <left/>
      <right style="medium">
        <color rgb="FFC0C0C0"/>
      </right>
      <top/>
      <bottom style="medium">
        <color rgb="FFC0C0C0"/>
      </bottom>
      <diagonal/>
    </border>
    <border>
      <left style="thin">
        <color indexed="22"/>
      </left>
      <right/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rgb="FF777777"/>
      </top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22"/>
      </right>
      <top/>
      <bottom style="medium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medium">
        <color indexed="22"/>
      </bottom>
      <diagonal/>
    </border>
    <border>
      <left style="thin">
        <color indexed="22"/>
      </left>
      <right style="thin">
        <color indexed="22"/>
      </right>
      <top style="medium">
        <color indexed="22"/>
      </top>
      <bottom/>
      <diagonal/>
    </border>
    <border>
      <left style="thin">
        <color indexed="22"/>
      </left>
      <right style="thin">
        <color indexed="22"/>
      </right>
      <top style="medium">
        <color indexed="22"/>
      </top>
      <bottom style="thin">
        <color indexed="22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</borders>
  <cellStyleXfs count="10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9" fillId="0" borderId="0"/>
    <xf numFmtId="9" fontId="9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0" fillId="11" borderId="7">
      <alignment horizontal="left" vertical="top" wrapText="1"/>
    </xf>
    <xf numFmtId="0" fontId="23" fillId="13" borderId="7">
      <alignment horizontal="left" vertical="center"/>
    </xf>
    <xf numFmtId="4" fontId="25" fillId="0" borderId="12">
      <alignment vertical="center" shrinkToFit="1"/>
    </xf>
    <xf numFmtId="0" fontId="31" fillId="15" borderId="12">
      <alignment horizontal="center" vertical="center"/>
    </xf>
    <xf numFmtId="0" fontId="31" fillId="0" borderId="0">
      <alignment vertical="top"/>
    </xf>
  </cellStyleXfs>
  <cellXfs count="120">
    <xf numFmtId="0" fontId="0" fillId="0" borderId="0" xfId="0"/>
    <xf numFmtId="0" fontId="0" fillId="0" borderId="1" xfId="0" applyBorder="1" applyAlignment="1">
      <alignment wrapText="1"/>
    </xf>
    <xf numFmtId="2" fontId="0" fillId="0" borderId="0" xfId="0" applyNumberFormat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4" fillId="0" borderId="0" xfId="0" applyFont="1"/>
    <xf numFmtId="0" fontId="7" fillId="0" borderId="1" xfId="0" applyFont="1" applyBorder="1"/>
    <xf numFmtId="0" fontId="6" fillId="0" borderId="0" xfId="0" applyFont="1"/>
    <xf numFmtId="0" fontId="0" fillId="0" borderId="1" xfId="0" applyBorder="1" applyAlignment="1">
      <alignment horizontal="center" vertical="center"/>
    </xf>
    <xf numFmtId="0" fontId="0" fillId="0" borderId="3" xfId="0" applyBorder="1"/>
    <xf numFmtId="0" fontId="4" fillId="0" borderId="1" xfId="0" applyFont="1" applyBorder="1" applyAlignment="1">
      <alignment horizontal="center" vertical="top"/>
    </xf>
    <xf numFmtId="0" fontId="12" fillId="0" borderId="0" xfId="0" applyFont="1"/>
    <xf numFmtId="164" fontId="7" fillId="0" borderId="1" xfId="0" applyNumberFormat="1" applyFont="1" applyBorder="1"/>
    <xf numFmtId="0" fontId="7" fillId="0" borderId="1" xfId="0" applyFont="1" applyBorder="1" applyAlignment="1">
      <alignment wrapText="1"/>
    </xf>
    <xf numFmtId="0" fontId="11" fillId="0" borderId="0" xfId="0" applyFont="1"/>
    <xf numFmtId="0" fontId="13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0" borderId="1" xfId="0" applyFont="1" applyBorder="1"/>
    <xf numFmtId="0" fontId="0" fillId="0" borderId="0" xfId="0" applyAlignment="1">
      <alignment horizontal="left"/>
    </xf>
    <xf numFmtId="0" fontId="10" fillId="7" borderId="1" xfId="0" quotePrefix="1" applyFont="1" applyFill="1" applyBorder="1" applyAlignment="1">
      <alignment horizontal="left" vertical="top" wrapText="1"/>
    </xf>
    <xf numFmtId="164" fontId="1" fillId="6" borderId="1" xfId="0" applyNumberFormat="1" applyFont="1" applyFill="1" applyBorder="1"/>
    <xf numFmtId="164" fontId="1" fillId="5" borderId="1" xfId="0" applyNumberFormat="1" applyFont="1" applyFill="1" applyBorder="1"/>
    <xf numFmtId="0" fontId="7" fillId="0" borderId="0" xfId="0" applyFont="1"/>
    <xf numFmtId="0" fontId="15" fillId="9" borderId="0" xfId="0" applyFont="1" applyFill="1"/>
    <xf numFmtId="0" fontId="0" fillId="9" borderId="0" xfId="0" applyFill="1"/>
    <xf numFmtId="0" fontId="14" fillId="9" borderId="0" xfId="0" applyFont="1" applyFill="1"/>
    <xf numFmtId="0" fontId="4" fillId="9" borderId="0" xfId="0" applyFont="1" applyFill="1"/>
    <xf numFmtId="0" fontId="10" fillId="5" borderId="1" xfId="0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2" fontId="7" fillId="0" borderId="1" xfId="0" applyNumberFormat="1" applyFont="1" applyBorder="1"/>
    <xf numFmtId="0" fontId="10" fillId="6" borderId="1" xfId="0" applyFont="1" applyFill="1" applyBorder="1" applyAlignment="1">
      <alignment horizontal="left" vertical="top" wrapText="1"/>
    </xf>
    <xf numFmtId="1" fontId="7" fillId="0" borderId="1" xfId="0" applyNumberFormat="1" applyFont="1" applyBorder="1"/>
    <xf numFmtId="1" fontId="7" fillId="8" borderId="1" xfId="0" applyNumberFormat="1" applyFont="1" applyFill="1" applyBorder="1"/>
    <xf numFmtId="0" fontId="6" fillId="4" borderId="0" xfId="0" applyFont="1" applyFill="1"/>
    <xf numFmtId="0" fontId="6" fillId="0" borderId="0" xfId="0" quotePrefix="1" applyFont="1"/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0" fontId="7" fillId="0" borderId="0" xfId="0" applyFont="1" applyAlignment="1">
      <alignment vertical="center"/>
    </xf>
    <xf numFmtId="164" fontId="7" fillId="0" borderId="0" xfId="0" applyNumberFormat="1" applyFont="1"/>
    <xf numFmtId="0" fontId="7" fillId="6" borderId="0" xfId="0" applyFont="1" applyFill="1"/>
    <xf numFmtId="0" fontId="7" fillId="5" borderId="0" xfId="0" applyFont="1" applyFill="1"/>
    <xf numFmtId="0" fontId="7" fillId="7" borderId="0" xfId="0" applyFont="1" applyFill="1"/>
    <xf numFmtId="0" fontId="7" fillId="0" borderId="0" xfId="0" applyFont="1" applyAlignment="1">
      <alignment vertical="center" wrapText="1"/>
    </xf>
    <xf numFmtId="0" fontId="0" fillId="10" borderId="1" xfId="0" applyFill="1" applyBorder="1"/>
    <xf numFmtId="2" fontId="0" fillId="10" borderId="1" xfId="0" applyNumberFormat="1" applyFill="1" applyBorder="1" applyAlignment="1">
      <alignment vertical="center" wrapText="1"/>
    </xf>
    <xf numFmtId="0" fontId="0" fillId="2" borderId="1" xfId="0" applyFill="1" applyBorder="1"/>
    <xf numFmtId="0" fontId="20" fillId="11" borderId="7" xfId="5" applyAlignment="1">
      <alignment horizontal="center" vertical="center" shrinkToFit="1"/>
    </xf>
    <xf numFmtId="0" fontId="21" fillId="11" borderId="7" xfId="5" applyFont="1" applyAlignment="1">
      <alignment horizontal="center" vertical="center" wrapText="1" shrinkToFit="1"/>
    </xf>
    <xf numFmtId="0" fontId="22" fillId="12" borderId="7" xfId="0" applyFont="1" applyFill="1" applyBorder="1" applyAlignment="1">
      <alignment horizontal="center" vertical="center" shrinkToFit="1"/>
    </xf>
    <xf numFmtId="0" fontId="23" fillId="13" borderId="7" xfId="6">
      <alignment horizontal="left" vertical="center"/>
    </xf>
    <xf numFmtId="0" fontId="24" fillId="11" borderId="7" xfId="5" applyFont="1" applyAlignment="1">
      <alignment horizontal="left" vertical="center" wrapText="1"/>
    </xf>
    <xf numFmtId="0" fontId="20" fillId="11" borderId="7" xfId="5" applyAlignment="1">
      <alignment horizontal="left" vertical="center" wrapText="1"/>
    </xf>
    <xf numFmtId="0" fontId="22" fillId="12" borderId="9" xfId="0" applyFont="1" applyFill="1" applyBorder="1" applyAlignment="1">
      <alignment horizontal="center" vertical="center" shrinkToFit="1"/>
    </xf>
    <xf numFmtId="0" fontId="23" fillId="13" borderId="11" xfId="6" applyBorder="1">
      <alignment horizontal="left" vertical="center"/>
    </xf>
    <xf numFmtId="166" fontId="25" fillId="0" borderId="12" xfId="7" applyNumberFormat="1">
      <alignment vertical="center" shrinkToFit="1"/>
    </xf>
    <xf numFmtId="0" fontId="24" fillId="14" borderId="13" xfId="0" applyFont="1" applyFill="1" applyBorder="1" applyAlignment="1">
      <alignment vertical="center"/>
    </xf>
    <xf numFmtId="0" fontId="29" fillId="11" borderId="13" xfId="0" applyFont="1" applyFill="1" applyBorder="1" applyAlignment="1">
      <alignment horizontal="left" vertical="center" indent="1"/>
    </xf>
    <xf numFmtId="0" fontId="24" fillId="0" borderId="15" xfId="0" applyFont="1" applyBorder="1" applyAlignment="1">
      <alignment horizontal="center" vertical="center"/>
    </xf>
    <xf numFmtId="166" fontId="25" fillId="0" borderId="12" xfId="4" applyNumberFormat="1" applyFont="1" applyBorder="1" applyAlignment="1">
      <alignment vertical="center" shrinkToFit="1"/>
    </xf>
    <xf numFmtId="166" fontId="26" fillId="0" borderId="12" xfId="7" applyNumberFormat="1" applyFont="1">
      <alignment vertical="center" shrinkToFit="1"/>
    </xf>
    <xf numFmtId="0" fontId="0" fillId="11" borderId="7" xfId="5" applyFont="1" applyAlignment="1">
      <alignment horizontal="left" vertical="center"/>
    </xf>
    <xf numFmtId="0" fontId="20" fillId="11" borderId="7" xfId="5" applyAlignment="1">
      <alignment horizontal="left" vertical="center"/>
    </xf>
    <xf numFmtId="0" fontId="30" fillId="12" borderId="0" xfId="5" applyFont="1" applyFill="1" applyBorder="1" applyAlignment="1">
      <alignment horizontal="left" vertical="center"/>
    </xf>
    <xf numFmtId="167" fontId="32" fillId="12" borderId="16" xfId="8" applyNumberFormat="1" applyFont="1" applyFill="1" applyBorder="1" applyAlignment="1">
      <alignment horizontal="right" vertical="center" shrinkToFit="1"/>
    </xf>
    <xf numFmtId="168" fontId="34" fillId="11" borderId="18" xfId="4" applyNumberFormat="1" applyFont="1" applyFill="1" applyBorder="1" applyAlignment="1">
      <alignment vertical="center" shrinkToFit="1"/>
    </xf>
    <xf numFmtId="168" fontId="34" fillId="11" borderId="12" xfId="4" applyNumberFormat="1" applyFont="1" applyFill="1" applyBorder="1" applyAlignment="1">
      <alignment vertical="center" shrinkToFit="1"/>
    </xf>
    <xf numFmtId="168" fontId="34" fillId="11" borderId="21" xfId="4" applyNumberFormat="1" applyFont="1" applyFill="1" applyBorder="1" applyAlignment="1">
      <alignment vertical="center" shrinkToFit="1"/>
    </xf>
    <xf numFmtId="168" fontId="34" fillId="11" borderId="23" xfId="4" applyNumberFormat="1" applyFont="1" applyFill="1" applyBorder="1" applyAlignment="1">
      <alignment vertical="center" shrinkToFit="1"/>
    </xf>
    <xf numFmtId="0" fontId="36" fillId="11" borderId="24" xfId="5" applyFont="1" applyBorder="1" applyAlignment="1">
      <alignment horizontal="center" vertical="center" wrapText="1"/>
    </xf>
    <xf numFmtId="0" fontId="10" fillId="11" borderId="24" xfId="5" applyFont="1" applyBorder="1" applyAlignment="1">
      <alignment horizontal="center" vertical="center" shrinkToFit="1"/>
    </xf>
    <xf numFmtId="0" fontId="6" fillId="0" borderId="3" xfId="0" applyFont="1" applyBorder="1" applyAlignment="1">
      <alignment vertical="center" wrapText="1"/>
    </xf>
    <xf numFmtId="0" fontId="10" fillId="11" borderId="25" xfId="5" applyFont="1" applyBorder="1" applyAlignment="1">
      <alignment horizontal="center" vertical="center" shrinkToFit="1"/>
    </xf>
    <xf numFmtId="0" fontId="27" fillId="0" borderId="0" xfId="0" applyFont="1" applyAlignment="1">
      <alignment vertical="center"/>
    </xf>
    <xf numFmtId="0" fontId="27" fillId="14" borderId="14" xfId="0" applyFont="1" applyFill="1" applyBorder="1" applyAlignment="1">
      <alignment vertical="center" wrapText="1"/>
    </xf>
    <xf numFmtId="164" fontId="0" fillId="8" borderId="0" xfId="0" applyNumberFormat="1" applyFill="1"/>
    <xf numFmtId="0" fontId="35" fillId="11" borderId="0" xfId="5" applyFont="1" applyBorder="1" applyAlignment="1">
      <alignment horizontal="center" vertical="center" wrapText="1"/>
    </xf>
    <xf numFmtId="0" fontId="37" fillId="11" borderId="7" xfId="5" applyFont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38" fillId="0" borderId="0" xfId="0" applyFont="1" applyAlignment="1">
      <alignment vertical="center"/>
    </xf>
    <xf numFmtId="0" fontId="5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  <xf numFmtId="0" fontId="39" fillId="0" borderId="0" xfId="0" applyFont="1"/>
    <xf numFmtId="0" fontId="0" fillId="9" borderId="0" xfId="0" quotePrefix="1" applyFill="1"/>
    <xf numFmtId="0" fontId="19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24" fillId="11" borderId="8" xfId="5" applyFont="1" applyBorder="1" applyAlignment="1">
      <alignment horizontal="left" vertical="center" wrapText="1" shrinkToFit="1"/>
    </xf>
    <xf numFmtId="0" fontId="24" fillId="11" borderId="9" xfId="5" applyFont="1" applyBorder="1" applyAlignment="1">
      <alignment horizontal="left" vertical="center" wrapText="1" shrinkToFit="1"/>
    </xf>
    <xf numFmtId="0" fontId="24" fillId="11" borderId="10" xfId="5" applyFont="1" applyBorder="1" applyAlignment="1">
      <alignment horizontal="left" vertical="center" wrapText="1" shrinkToFit="1"/>
    </xf>
    <xf numFmtId="0" fontId="20" fillId="11" borderId="8" xfId="5" applyBorder="1" applyAlignment="1">
      <alignment horizontal="left" vertical="center" wrapText="1" shrinkToFit="1"/>
    </xf>
    <xf numFmtId="0" fontId="20" fillId="11" borderId="9" xfId="5" applyBorder="1" applyAlignment="1">
      <alignment horizontal="left" vertical="center" wrapText="1" shrinkToFit="1"/>
    </xf>
    <xf numFmtId="0" fontId="20" fillId="11" borderId="10" xfId="5" applyBorder="1" applyAlignment="1">
      <alignment horizontal="left" vertical="center" wrapText="1" shrinkToFit="1"/>
    </xf>
    <xf numFmtId="0" fontId="22" fillId="12" borderId="8" xfId="0" applyFont="1" applyFill="1" applyBorder="1" applyAlignment="1">
      <alignment horizontal="left" vertical="center" shrinkToFit="1"/>
    </xf>
    <xf numFmtId="0" fontId="22" fillId="12" borderId="9" xfId="0" applyFont="1" applyFill="1" applyBorder="1" applyAlignment="1">
      <alignment horizontal="left" vertical="center" shrinkToFit="1"/>
    </xf>
    <xf numFmtId="0" fontId="23" fillId="13" borderId="7" xfId="6">
      <alignment horizontal="left" vertical="center"/>
    </xf>
    <xf numFmtId="0" fontId="1" fillId="11" borderId="8" xfId="5" applyFont="1" applyBorder="1" applyAlignment="1">
      <alignment horizontal="left" vertical="center" wrapText="1" shrinkToFit="1"/>
    </xf>
    <xf numFmtId="0" fontId="1" fillId="11" borderId="9" xfId="5" applyFont="1" applyBorder="1" applyAlignment="1">
      <alignment horizontal="left" vertical="center" wrapText="1" shrinkToFit="1"/>
    </xf>
    <xf numFmtId="0" fontId="1" fillId="11" borderId="10" xfId="5" applyFont="1" applyBorder="1" applyAlignment="1">
      <alignment horizontal="left" vertical="center" wrapText="1" shrinkToFit="1"/>
    </xf>
    <xf numFmtId="0" fontId="33" fillId="11" borderId="17" xfId="9" applyFont="1" applyFill="1" applyBorder="1" applyAlignment="1">
      <alignment horizontal="center" vertical="center"/>
    </xf>
    <xf numFmtId="0" fontId="33" fillId="11" borderId="19" xfId="9" applyFont="1" applyFill="1" applyBorder="1" applyAlignment="1">
      <alignment horizontal="center" vertical="center"/>
    </xf>
    <xf numFmtId="0" fontId="33" fillId="11" borderId="20" xfId="9" applyFont="1" applyFill="1" applyBorder="1" applyAlignment="1">
      <alignment horizontal="center" vertical="center"/>
    </xf>
    <xf numFmtId="0" fontId="33" fillId="11" borderId="22" xfId="9" applyFont="1" applyFill="1" applyBorder="1" applyAlignment="1">
      <alignment horizontal="center" vertical="center"/>
    </xf>
    <xf numFmtId="0" fontId="33" fillId="11" borderId="18" xfId="9" applyFont="1" applyFill="1" applyBorder="1" applyAlignment="1">
      <alignment horizontal="center" vertical="center"/>
    </xf>
    <xf numFmtId="0" fontId="35" fillId="11" borderId="8" xfId="5" applyFont="1" applyBorder="1" applyAlignment="1">
      <alignment horizontal="center" vertical="center" wrapText="1"/>
    </xf>
    <xf numFmtId="0" fontId="35" fillId="11" borderId="10" xfId="5" applyFont="1" applyBorder="1" applyAlignment="1">
      <alignment horizontal="center" vertical="center" wrapText="1"/>
    </xf>
  </cellXfs>
  <cellStyles count="10">
    <cellStyle name="Formel" xfId="8" xr:uid="{C8B2C0F3-00AA-413E-9F77-25A9EDA90F69}"/>
    <cellStyle name="Formula" xfId="7" xr:uid="{09D70823-7AAD-4430-A4AB-59E1E121AD6F}"/>
    <cellStyle name="Link 2" xfId="1" xr:uid="{0D365A77-1058-4423-BD25-BA1656FBBCA4}"/>
    <cellStyle name="Normal" xfId="0" builtinId="0"/>
    <cellStyle name="Normal 2" xfId="2" xr:uid="{15894088-1A48-476D-9AF1-76E5BA5F5777}"/>
    <cellStyle name="Normal_STANDARD" xfId="9" xr:uid="{D2E41CE1-D6E4-404C-B1A6-885018397EFC}"/>
    <cellStyle name="Per cent" xfId="4" builtinId="5"/>
    <cellStyle name="Per cent 2" xfId="3" xr:uid="{3004E1A9-7BEB-4F71-BE27-3A28A70F55B7}"/>
    <cellStyle name="TableHead" xfId="5" xr:uid="{63CCCA42-AFE6-420F-A66D-C09CC1F65258}"/>
    <cellStyle name="TableSeparator" xfId="6" xr:uid="{47A730AB-7D56-40C9-93CF-D97B16143250}"/>
  </cellStyles>
  <dxfs count="0"/>
  <tableStyles count="0" defaultTableStyle="TableStyleMedium2" defaultPivotStyle="PivotStyleLight16"/>
  <colors>
    <mruColors>
      <color rgb="FF695700"/>
      <color rgb="FFAE8E00"/>
      <color rgb="FFFFCE00"/>
      <color rgb="FFFFE250"/>
      <color rgb="FFFFEB83"/>
      <color rgb="FFA8DB5A"/>
      <color rgb="FF7BB420"/>
      <color rgb="FFFFC4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6799583738346295"/>
          <c:y val="4.711608736138781E-2"/>
          <c:w val="0.50660952878337784"/>
          <c:h val="0.8535192209690534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F9F-4736-BE01-7CB5D9D77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38137512"/>
        <c:axId val="638137184"/>
      </c:barChart>
      <c:catAx>
        <c:axId val="638137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8137184"/>
        <c:crosses val="autoZero"/>
        <c:auto val="1"/>
        <c:lblAlgn val="ctr"/>
        <c:lblOffset val="100"/>
        <c:noMultiLvlLbl val="0"/>
      </c:catAx>
      <c:valAx>
        <c:axId val="63813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8137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2</xdr:row>
      <xdr:rowOff>87630</xdr:rowOff>
    </xdr:from>
    <xdr:to>
      <xdr:col>7</xdr:col>
      <xdr:colOff>1681</xdr:colOff>
      <xdr:row>4</xdr:row>
      <xdr:rowOff>97268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178C631-EC3C-49F7-1E5F-4544CE55F3B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608" t="-1585"/>
        <a:stretch>
          <a:fillRect/>
        </a:stretch>
      </xdr:blipFill>
      <xdr:spPr bwMode="auto">
        <a:xfrm>
          <a:off x="85725" y="611505"/>
          <a:ext cx="7059706" cy="3677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516255</xdr:colOff>
      <xdr:row>17</xdr:row>
      <xdr:rowOff>66675</xdr:rowOff>
    </xdr:from>
    <xdr:to>
      <xdr:col>24</xdr:col>
      <xdr:colOff>285092</xdr:colOff>
      <xdr:row>35</xdr:row>
      <xdr:rowOff>76718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DEEC2F-A346-358D-E84E-00DB40AC8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7255" y="3219450"/>
          <a:ext cx="8926172" cy="37152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311372</xdr:colOff>
      <xdr:row>27</xdr:row>
      <xdr:rowOff>60910</xdr:rowOff>
    </xdr:from>
    <xdr:to>
      <xdr:col>5</xdr:col>
      <xdr:colOff>16818</xdr:colOff>
      <xdr:row>47</xdr:row>
      <xdr:rowOff>132684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67E8AE39-DA6A-4763-8389-362E0C697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1372" y="5033617"/>
          <a:ext cx="5631704" cy="37503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308741</xdr:colOff>
      <xdr:row>0</xdr:row>
      <xdr:rowOff>151085</xdr:rowOff>
    </xdr:from>
    <xdr:to>
      <xdr:col>10</xdr:col>
      <xdr:colOff>205721</xdr:colOff>
      <xdr:row>16</xdr:row>
      <xdr:rowOff>169395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7B4C38BE-EA6A-47C4-A87A-5EA4458CDC4F}"/>
            </a:ext>
          </a:extLst>
        </xdr:cNvPr>
        <xdr:cNvGrpSpPr/>
      </xdr:nvGrpSpPr>
      <xdr:grpSpPr>
        <a:xfrm>
          <a:off x="310646" y="151085"/>
          <a:ext cx="7781644" cy="2965017"/>
          <a:chOff x="12479974" y="2632412"/>
          <a:chExt cx="7793348" cy="2988972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C6596A19-1D28-4A0B-A49B-E832A7ED6709}"/>
              </a:ext>
            </a:extLst>
          </xdr:cNvPr>
          <xdr:cNvGraphicFramePr/>
        </xdr:nvGraphicFramePr>
        <xdr:xfrm>
          <a:off x="12479974" y="2632412"/>
          <a:ext cx="7793348" cy="29889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1EB1F74B-F1E4-4A60-A8A4-2D58611C9896}"/>
              </a:ext>
            </a:extLst>
          </xdr:cNvPr>
          <xdr:cNvGrpSpPr/>
        </xdr:nvGrpSpPr>
        <xdr:grpSpPr>
          <a:xfrm rot="5400000">
            <a:off x="16869210" y="2536549"/>
            <a:ext cx="2266085" cy="3028950"/>
            <a:chOff x="-1743076" y="-363818"/>
            <a:chExt cx="2255007" cy="3196439"/>
          </a:xfrm>
        </xdr:grpSpPr>
        <xdr:sp macro="" textlink="">
          <xdr:nvSpPr>
            <xdr:cNvPr id="5" name="Rechteck: abgerundete Ecken 4">
              <a:extLst>
                <a:ext uri="{FF2B5EF4-FFF2-40B4-BE49-F238E27FC236}">
                  <a16:creationId xmlns:a16="http://schemas.microsoft.com/office/drawing/2014/main" id="{D598EF25-CDE3-4AE4-9D4F-19863CD4486A}"/>
                </a:ext>
              </a:extLst>
            </xdr:cNvPr>
            <xdr:cNvSpPr/>
          </xdr:nvSpPr>
          <xdr:spPr>
            <a:xfrm rot="16200000">
              <a:off x="-695371" y="1625318"/>
              <a:ext cx="2266491" cy="148113"/>
            </a:xfrm>
            <a:prstGeom prst="roundRect">
              <a:avLst/>
            </a:prstGeom>
            <a:gradFill flip="none" rotWithShape="1">
              <a:gsLst>
                <a:gs pos="33000">
                  <a:schemeClr val="accent1">
                    <a:lumMod val="40000"/>
                    <a:lumOff val="60000"/>
                  </a:schemeClr>
                </a:gs>
                <a:gs pos="16000">
                  <a:schemeClr val="accent3">
                    <a:lumMod val="40000"/>
                    <a:lumOff val="60000"/>
                  </a:schemeClr>
                </a:gs>
                <a:gs pos="0">
                  <a:schemeClr val="accent3">
                    <a:alpha val="0"/>
                  </a:schemeClr>
                </a:gs>
                <a:gs pos="50000">
                  <a:schemeClr val="accent1"/>
                </a:gs>
                <a:gs pos="68000">
                  <a:srgbClr val="FFB601"/>
                </a:gs>
                <a:gs pos="100000">
                  <a:schemeClr val="bg2">
                    <a:lumMod val="25000"/>
                    <a:alpha val="0"/>
                  </a:schemeClr>
                </a:gs>
                <a:gs pos="85000">
                  <a:schemeClr val="bg2">
                    <a:lumMod val="50000"/>
                  </a:schemeClr>
                </a:gs>
              </a:gsLst>
              <a:lin ang="0" scaled="1"/>
              <a:tileRect/>
            </a:gradFill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de-DE" sz="1800"/>
            </a:p>
          </xdr:txBody>
        </xdr:sp>
        <xdr:sp macro="" textlink="">
          <xdr:nvSpPr>
            <xdr:cNvPr id="6" name="Rechteck: abgerundete Ecken 5">
              <a:extLst>
                <a:ext uri="{FF2B5EF4-FFF2-40B4-BE49-F238E27FC236}">
                  <a16:creationId xmlns:a16="http://schemas.microsoft.com/office/drawing/2014/main" id="{2FC4BDBD-C29F-4589-8DFB-D99D8B3CCA5E}"/>
                </a:ext>
              </a:extLst>
            </xdr:cNvPr>
            <xdr:cNvSpPr/>
          </xdr:nvSpPr>
          <xdr:spPr>
            <a:xfrm rot="16200000">
              <a:off x="-1200097" y="1422149"/>
              <a:ext cx="2434820" cy="138595"/>
            </a:xfrm>
            <a:prstGeom prst="roundRect">
              <a:avLst/>
            </a:prstGeom>
            <a:gradFill flip="none" rotWithShape="1">
              <a:gsLst>
                <a:gs pos="33000">
                  <a:schemeClr val="accent1">
                    <a:lumMod val="40000"/>
                    <a:lumOff val="60000"/>
                  </a:schemeClr>
                </a:gs>
                <a:gs pos="16000">
                  <a:schemeClr val="accent3">
                    <a:lumMod val="40000"/>
                    <a:lumOff val="60000"/>
                  </a:schemeClr>
                </a:gs>
                <a:gs pos="0">
                  <a:schemeClr val="accent3">
                    <a:alpha val="0"/>
                  </a:schemeClr>
                </a:gs>
                <a:gs pos="50000">
                  <a:schemeClr val="accent1"/>
                </a:gs>
                <a:gs pos="68000">
                  <a:srgbClr val="FFB601"/>
                </a:gs>
                <a:gs pos="100000">
                  <a:schemeClr val="bg2">
                    <a:lumMod val="25000"/>
                    <a:alpha val="0"/>
                  </a:schemeClr>
                </a:gs>
                <a:gs pos="85000">
                  <a:schemeClr val="bg2">
                    <a:lumMod val="50000"/>
                  </a:schemeClr>
                </a:gs>
              </a:gsLst>
              <a:lin ang="0" scaled="1"/>
              <a:tileRect/>
            </a:gradFill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de-DE" sz="1800"/>
            </a:p>
          </xdr:txBody>
        </xdr:sp>
        <xdr:sp macro="" textlink="">
          <xdr:nvSpPr>
            <xdr:cNvPr id="7" name="Rechteck: abgerundete Ecken 6">
              <a:extLst>
                <a:ext uri="{FF2B5EF4-FFF2-40B4-BE49-F238E27FC236}">
                  <a16:creationId xmlns:a16="http://schemas.microsoft.com/office/drawing/2014/main" id="{38A02592-0405-4219-A38B-C492030A8025}"/>
                </a:ext>
              </a:extLst>
            </xdr:cNvPr>
            <xdr:cNvSpPr/>
          </xdr:nvSpPr>
          <xdr:spPr>
            <a:xfrm rot="16200000">
              <a:off x="-1996746" y="1165106"/>
              <a:ext cx="3196439" cy="138592"/>
            </a:xfrm>
            <a:prstGeom prst="roundRect">
              <a:avLst/>
            </a:prstGeom>
            <a:gradFill flip="none" rotWithShape="1">
              <a:gsLst>
                <a:gs pos="33000">
                  <a:schemeClr val="accent1">
                    <a:lumMod val="40000"/>
                    <a:lumOff val="60000"/>
                  </a:schemeClr>
                </a:gs>
                <a:gs pos="16000">
                  <a:schemeClr val="accent3">
                    <a:lumMod val="40000"/>
                    <a:lumOff val="60000"/>
                  </a:schemeClr>
                </a:gs>
                <a:gs pos="0">
                  <a:schemeClr val="accent3">
                    <a:alpha val="0"/>
                  </a:schemeClr>
                </a:gs>
                <a:gs pos="50000">
                  <a:schemeClr val="accent1"/>
                </a:gs>
                <a:gs pos="68000">
                  <a:srgbClr val="FFB601"/>
                </a:gs>
                <a:gs pos="100000">
                  <a:schemeClr val="bg2">
                    <a:lumMod val="25000"/>
                    <a:alpha val="0"/>
                  </a:schemeClr>
                </a:gs>
                <a:gs pos="85000">
                  <a:schemeClr val="bg2">
                    <a:lumMod val="50000"/>
                  </a:schemeClr>
                </a:gs>
              </a:gsLst>
              <a:lin ang="0" scaled="1"/>
              <a:tileRect/>
            </a:gradFill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de-DE" sz="1800"/>
            </a:p>
          </xdr:txBody>
        </xdr:sp>
        <xdr:sp macro="" textlink="">
          <xdr:nvSpPr>
            <xdr:cNvPr id="8" name="Rechteck: abgerundete Ecken 7">
              <a:extLst>
                <a:ext uri="{FF2B5EF4-FFF2-40B4-BE49-F238E27FC236}">
                  <a16:creationId xmlns:a16="http://schemas.microsoft.com/office/drawing/2014/main" id="{4916756C-DBFC-4DEB-9FD5-7B743A2DA23B}"/>
                </a:ext>
              </a:extLst>
            </xdr:cNvPr>
            <xdr:cNvSpPr/>
          </xdr:nvSpPr>
          <xdr:spPr>
            <a:xfrm rot="16200000">
              <a:off x="-1907953" y="1702995"/>
              <a:ext cx="2111132" cy="148115"/>
            </a:xfrm>
            <a:prstGeom prst="roundRect">
              <a:avLst/>
            </a:prstGeom>
            <a:gradFill flip="none" rotWithShape="1">
              <a:gsLst>
                <a:gs pos="33000">
                  <a:schemeClr val="accent1">
                    <a:lumMod val="40000"/>
                    <a:lumOff val="60000"/>
                  </a:schemeClr>
                </a:gs>
                <a:gs pos="16000">
                  <a:schemeClr val="accent3">
                    <a:lumMod val="40000"/>
                    <a:lumOff val="60000"/>
                  </a:schemeClr>
                </a:gs>
                <a:gs pos="0">
                  <a:schemeClr val="accent3">
                    <a:alpha val="0"/>
                  </a:schemeClr>
                </a:gs>
                <a:gs pos="50000">
                  <a:schemeClr val="accent1"/>
                </a:gs>
                <a:gs pos="68000">
                  <a:srgbClr val="FFB601"/>
                </a:gs>
                <a:gs pos="100000">
                  <a:schemeClr val="bg2">
                    <a:lumMod val="25000"/>
                    <a:alpha val="0"/>
                  </a:schemeClr>
                </a:gs>
                <a:gs pos="85000">
                  <a:schemeClr val="bg2">
                    <a:lumMod val="50000"/>
                  </a:schemeClr>
                </a:gs>
              </a:gsLst>
              <a:lin ang="0" scaled="1"/>
              <a:tileRect/>
            </a:gradFill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de-DE" sz="1800"/>
            </a:p>
          </xdr:txBody>
        </xdr:sp>
        <xdr:sp macro="" textlink="">
          <xdr:nvSpPr>
            <xdr:cNvPr id="9" name="Rechteck: abgerundete Ecken 8">
              <a:extLst>
                <a:ext uri="{FF2B5EF4-FFF2-40B4-BE49-F238E27FC236}">
                  <a16:creationId xmlns:a16="http://schemas.microsoft.com/office/drawing/2014/main" id="{B4EC3585-FB48-410F-ADEE-D88517840235}"/>
                </a:ext>
              </a:extLst>
            </xdr:cNvPr>
            <xdr:cNvSpPr/>
          </xdr:nvSpPr>
          <xdr:spPr>
            <a:xfrm rot="16200000">
              <a:off x="-2121897" y="1603034"/>
              <a:ext cx="1758885" cy="148113"/>
            </a:xfrm>
            <a:prstGeom prst="roundRect">
              <a:avLst/>
            </a:prstGeom>
            <a:gradFill flip="none" rotWithShape="1">
              <a:gsLst>
                <a:gs pos="33000">
                  <a:schemeClr val="accent1">
                    <a:lumMod val="40000"/>
                    <a:lumOff val="60000"/>
                  </a:schemeClr>
                </a:gs>
                <a:gs pos="16000">
                  <a:schemeClr val="accent3">
                    <a:lumMod val="40000"/>
                    <a:lumOff val="60000"/>
                  </a:schemeClr>
                </a:gs>
                <a:gs pos="0">
                  <a:schemeClr val="accent3">
                    <a:alpha val="0"/>
                  </a:schemeClr>
                </a:gs>
                <a:gs pos="50000">
                  <a:schemeClr val="accent1"/>
                </a:gs>
                <a:gs pos="68000">
                  <a:srgbClr val="FFB601"/>
                </a:gs>
                <a:gs pos="100000">
                  <a:schemeClr val="bg2">
                    <a:lumMod val="25000"/>
                    <a:alpha val="0"/>
                  </a:schemeClr>
                </a:gs>
                <a:gs pos="85000">
                  <a:schemeClr val="bg2">
                    <a:lumMod val="50000"/>
                  </a:schemeClr>
                </a:gs>
              </a:gsLst>
              <a:lin ang="0" scaled="1"/>
              <a:tileRect/>
            </a:gradFill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de-DE" sz="1800"/>
            </a:p>
          </xdr:txBody>
        </xdr:sp>
        <xdr:sp macro="" textlink="">
          <xdr:nvSpPr>
            <xdr:cNvPr id="10" name="Rechteck: abgerundete Ecken 9">
              <a:extLst>
                <a:ext uri="{FF2B5EF4-FFF2-40B4-BE49-F238E27FC236}">
                  <a16:creationId xmlns:a16="http://schemas.microsoft.com/office/drawing/2014/main" id="{B56DF95B-77DC-44E4-B304-6F6FBB97C06F}"/>
                </a:ext>
              </a:extLst>
            </xdr:cNvPr>
            <xdr:cNvSpPr/>
          </xdr:nvSpPr>
          <xdr:spPr>
            <a:xfrm rot="16200000">
              <a:off x="-2829310" y="1436433"/>
              <a:ext cx="2330097" cy="157629"/>
            </a:xfrm>
            <a:prstGeom prst="roundRect">
              <a:avLst/>
            </a:prstGeom>
            <a:gradFill flip="none" rotWithShape="1">
              <a:gsLst>
                <a:gs pos="33000">
                  <a:schemeClr val="accent1">
                    <a:lumMod val="40000"/>
                    <a:lumOff val="60000"/>
                  </a:schemeClr>
                </a:gs>
                <a:gs pos="16000">
                  <a:schemeClr val="accent3">
                    <a:lumMod val="40000"/>
                    <a:lumOff val="60000"/>
                  </a:schemeClr>
                </a:gs>
                <a:gs pos="0">
                  <a:schemeClr val="accent3">
                    <a:alpha val="0"/>
                  </a:schemeClr>
                </a:gs>
                <a:gs pos="50000">
                  <a:schemeClr val="accent1"/>
                </a:gs>
                <a:gs pos="68000">
                  <a:srgbClr val="FFB601"/>
                </a:gs>
                <a:gs pos="100000">
                  <a:schemeClr val="bg2">
                    <a:lumMod val="25000"/>
                    <a:alpha val="0"/>
                  </a:schemeClr>
                </a:gs>
                <a:gs pos="85000">
                  <a:schemeClr val="bg2">
                    <a:lumMod val="50000"/>
                  </a:schemeClr>
                </a:gs>
              </a:gsLst>
              <a:lin ang="0" scaled="1"/>
              <a:tileRect/>
            </a:gradFill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lvl1pPr marL="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de-DE" sz="1800"/>
            </a:p>
          </xdr:txBody>
        </xdr:sp>
      </xdr:grp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uillaume Behem" id="{B163D503-688F-43A0-83B2-955DD70FCA75}" userId="S::guillaume.behem@student.kuleuven.be::0cf7add3-2604-46b4-b87c-3049e6e88a98" providerId="AD"/>
</personList>
</file>

<file path=xl/theme/theme1.xml><?xml version="1.0" encoding="utf-8"?>
<a:theme xmlns:a="http://schemas.openxmlformats.org/drawingml/2006/main" name="Office Theme">
  <a:themeElements>
    <a:clrScheme name="Benutzerdefiniert 1">
      <a:dk1>
        <a:sysClr val="windowText" lastClr="000000"/>
      </a:dk1>
      <a:lt1>
        <a:sysClr val="window" lastClr="FFFFFF"/>
      </a:lt1>
      <a:dk2>
        <a:srgbClr val="775F55"/>
      </a:dk2>
      <a:lt2>
        <a:srgbClr val="EBDDC3"/>
      </a:lt2>
      <a:accent1>
        <a:srgbClr val="FFD900"/>
      </a:accent1>
      <a:accent2>
        <a:srgbClr val="C3CB13"/>
      </a:accent2>
      <a:accent3>
        <a:srgbClr val="86BC25"/>
      </a:accent3>
      <a:accent4>
        <a:srgbClr val="A2B481"/>
      </a:accent4>
      <a:accent5>
        <a:srgbClr val="93A8AC"/>
      </a:accent5>
      <a:accent6>
        <a:srgbClr val="4C5760"/>
      </a:accent6>
      <a:hlink>
        <a:srgbClr val="F69D1A"/>
      </a:hlink>
      <a:folHlink>
        <a:srgbClr val="704404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5-08-07T12:17:38.48" personId="{B163D503-688F-43A0-83B2-955DD70FCA75}" id="{89119FD1-22EC-492F-A5EF-B4B4695994C7}">
    <text>Harmonization based on Röck et al. 2020 „Embodied GHG emissions of buildings – The hidden challenge for effective climate change mitigation“</text>
  </threadedComment>
  <threadedComment ref="I2" dT="2025-08-07T12:17:38.48" personId="{B163D503-688F-43A0-83B2-955DD70FCA75}" id="{71F4D4A2-3F1A-4966-AD21-366F8E3A5750}">
    <text>Harmonization based on Röck et al. 2020 „Embodied GHG emissions of buildings – The hidden challenge for effective climate change mitigation“</text>
  </threadedComment>
  <threadedComment ref="F22" dT="2025-08-07T12:17:38.48" personId="{B163D503-688F-43A0-83B2-955DD70FCA75}" id="{D0423A2F-356C-4B30-B4F2-75E4FF340583}">
    <text>Harmonization based on Röck et al. 2020 „Embodied GHG emissions of buildings – The hidden challenge for effective climate change mitigation“</text>
  </threadedComment>
  <threadedComment ref="I22" dT="2025-08-07T12:17:38.48" personId="{B163D503-688F-43A0-83B2-955DD70FCA75}" id="{9F11FFF2-9807-4FB7-A899-BB33E14D8183}">
    <text>Harmonization based on Röck et al. 2020 „Embodied GHG emissions of buildings – The hidden challenge for effective climate change mitigation“</text>
  </threadedComment>
  <threadedComment ref="I42" dT="2025-08-07T12:17:38.48" personId="{B163D503-688F-43A0-83B2-955DD70FCA75}" id="{2B1994F7-F1AC-49A1-A8FA-3E72AFA8BADC}">
    <text>Harmonization based on Röck et al. 2020 „Embodied GHG emissions of buildings – The hidden challenge for effective climate change mitigation“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A1A-C56F-465F-A21C-92E6C3CE3AEB}">
  <dimension ref="A1:AU113"/>
  <sheetViews>
    <sheetView tabSelected="1" topLeftCell="AE1" zoomScaleNormal="100" workbookViewId="0">
      <selection activeCell="AU18" activeCellId="1" sqref="AS18 AU18"/>
    </sheetView>
  </sheetViews>
  <sheetFormatPr defaultColWidth="11.5546875" defaultRowHeight="14.4" x14ac:dyDescent="0.3"/>
  <cols>
    <col min="2" max="2" width="7.44140625" customWidth="1"/>
    <col min="3" max="3" width="60.77734375" customWidth="1"/>
    <col min="4" max="6" width="5.77734375" customWidth="1"/>
    <col min="7" max="7" width="6.77734375" customWidth="1"/>
    <col min="8" max="10" width="5.77734375" customWidth="1"/>
    <col min="11" max="12" width="16.5546875" customWidth="1"/>
    <col min="14" max="14" width="22.77734375" customWidth="1"/>
    <col min="15" max="15" width="60.77734375" customWidth="1"/>
    <col min="16" max="22" width="5.77734375" customWidth="1"/>
    <col min="23" max="29" width="18.109375" customWidth="1"/>
    <col min="31" max="31" width="29.33203125" customWidth="1"/>
    <col min="32" max="32" width="50.6640625" customWidth="1"/>
    <col min="33" max="33" width="22.77734375" customWidth="1"/>
    <col min="34" max="40" width="5.77734375" customWidth="1"/>
    <col min="41" max="47" width="16.33203125" customWidth="1"/>
  </cols>
  <sheetData>
    <row r="1" spans="1:47" s="26" customFormat="1" ht="23.4" x14ac:dyDescent="0.45">
      <c r="A1" s="25" t="s">
        <v>187</v>
      </c>
      <c r="M1" s="28"/>
    </row>
    <row r="2" spans="1:47" s="26" customFormat="1" ht="18" x14ac:dyDescent="0.35">
      <c r="A2" s="27" t="s">
        <v>185</v>
      </c>
      <c r="M2" s="86"/>
    </row>
    <row r="3" spans="1:47" s="26" customFormat="1" x14ac:dyDescent="0.3">
      <c r="A3" s="28"/>
      <c r="M3" s="86"/>
    </row>
    <row r="4" spans="1:47" s="26" customFormat="1" x14ac:dyDescent="0.3">
      <c r="A4" s="28"/>
      <c r="M4" s="86"/>
    </row>
    <row r="5" spans="1:47" s="26" customFormat="1" x14ac:dyDescent="0.3">
      <c r="A5" s="28"/>
    </row>
    <row r="6" spans="1:47" s="26" customFormat="1" x14ac:dyDescent="0.3">
      <c r="A6" s="28"/>
    </row>
    <row r="7" spans="1:47" s="26" customFormat="1" ht="18" x14ac:dyDescent="0.35">
      <c r="A7" s="27" t="s">
        <v>186</v>
      </c>
    </row>
    <row r="8" spans="1:47" s="26" customFormat="1" x14ac:dyDescent="0.3"/>
    <row r="10" spans="1:47" x14ac:dyDescent="0.3">
      <c r="B10" s="89" t="s">
        <v>188</v>
      </c>
      <c r="C10" s="90"/>
      <c r="D10" s="90"/>
      <c r="E10" s="90"/>
      <c r="F10" s="90"/>
      <c r="G10" s="90"/>
      <c r="H10" s="90"/>
      <c r="I10" s="90"/>
      <c r="J10" s="91"/>
      <c r="K10" s="36"/>
      <c r="L10" s="6"/>
      <c r="N10" s="94" t="s">
        <v>162</v>
      </c>
      <c r="O10" s="94"/>
      <c r="P10" s="94"/>
      <c r="Q10" s="94"/>
      <c r="R10" s="94"/>
      <c r="S10" s="94"/>
      <c r="T10" s="94"/>
      <c r="U10" s="94"/>
      <c r="V10" s="94"/>
      <c r="W10" s="88" t="s">
        <v>181</v>
      </c>
      <c r="X10" s="88"/>
      <c r="Y10" s="88"/>
      <c r="Z10" s="88"/>
      <c r="AA10" s="88"/>
      <c r="AB10" s="88"/>
      <c r="AC10" s="88"/>
      <c r="AE10" s="95" t="s">
        <v>182</v>
      </c>
      <c r="AF10" s="95"/>
      <c r="AG10" s="95"/>
      <c r="AH10" s="95"/>
      <c r="AI10" s="95"/>
      <c r="AJ10" s="95"/>
      <c r="AK10" s="95"/>
      <c r="AL10" s="95"/>
      <c r="AM10" s="95"/>
      <c r="AN10" s="95"/>
      <c r="AO10" s="88" t="s">
        <v>181</v>
      </c>
      <c r="AP10" s="88"/>
      <c r="AQ10" s="88"/>
      <c r="AR10" s="88"/>
      <c r="AS10" s="88"/>
      <c r="AT10" s="88"/>
      <c r="AU10" s="88"/>
    </row>
    <row r="11" spans="1:47" ht="43.2" customHeight="1" x14ac:dyDescent="0.3">
      <c r="B11" s="80" t="s">
        <v>155</v>
      </c>
      <c r="C11" s="80"/>
      <c r="D11" s="17" t="s">
        <v>67</v>
      </c>
      <c r="E11" s="17" t="s">
        <v>62</v>
      </c>
      <c r="F11" s="17" t="s">
        <v>63</v>
      </c>
      <c r="G11" s="17" t="s">
        <v>64</v>
      </c>
      <c r="H11" s="17" t="s">
        <v>65</v>
      </c>
      <c r="I11" s="17" t="s">
        <v>66</v>
      </c>
      <c r="J11" s="18" t="s">
        <v>39</v>
      </c>
      <c r="N11" s="93" t="s">
        <v>163</v>
      </c>
      <c r="O11" s="93"/>
      <c r="P11" s="17" t="s">
        <v>67</v>
      </c>
      <c r="Q11" s="17" t="s">
        <v>62</v>
      </c>
      <c r="R11" s="17" t="s">
        <v>63</v>
      </c>
      <c r="S11" s="17" t="s">
        <v>64</v>
      </c>
      <c r="T11" s="17" t="s">
        <v>65</v>
      </c>
      <c r="U11" s="17" t="s">
        <v>66</v>
      </c>
      <c r="V11" s="17" t="s">
        <v>39</v>
      </c>
      <c r="W11" s="17" t="s">
        <v>67</v>
      </c>
      <c r="X11" s="17" t="s">
        <v>62</v>
      </c>
      <c r="Y11" s="17" t="s">
        <v>63</v>
      </c>
      <c r="Z11" s="17" t="s">
        <v>64</v>
      </c>
      <c r="AA11" s="17" t="s">
        <v>65</v>
      </c>
      <c r="AB11" s="17" t="s">
        <v>66</v>
      </c>
      <c r="AC11" s="17" t="s">
        <v>39</v>
      </c>
      <c r="AE11" s="93" t="s">
        <v>183</v>
      </c>
      <c r="AF11" s="93"/>
      <c r="AG11" s="9" t="s">
        <v>40</v>
      </c>
      <c r="AH11" s="17" t="s">
        <v>67</v>
      </c>
      <c r="AI11" s="17" t="s">
        <v>62</v>
      </c>
      <c r="AJ11" s="17" t="s">
        <v>63</v>
      </c>
      <c r="AK11" s="17" t="s">
        <v>64</v>
      </c>
      <c r="AL11" s="17" t="s">
        <v>65</v>
      </c>
      <c r="AM11" s="17" t="s">
        <v>66</v>
      </c>
      <c r="AN11" s="17" t="s">
        <v>39</v>
      </c>
      <c r="AO11" s="17" t="s">
        <v>67</v>
      </c>
      <c r="AP11" s="17" t="s">
        <v>62</v>
      </c>
      <c r="AQ11" s="17" t="s">
        <v>63</v>
      </c>
      <c r="AR11" s="17" t="s">
        <v>64</v>
      </c>
      <c r="AS11" s="17" t="s">
        <v>65</v>
      </c>
      <c r="AT11" s="17" t="s">
        <v>66</v>
      </c>
      <c r="AU11" s="17" t="s">
        <v>39</v>
      </c>
    </row>
    <row r="12" spans="1:47" ht="14.4" customHeight="1" x14ac:dyDescent="0.3">
      <c r="B12" s="81" t="s">
        <v>153</v>
      </c>
      <c r="C12" s="7" t="s">
        <v>151</v>
      </c>
      <c r="D12" s="34">
        <f t="shared" ref="D12:D24" si="0">IF(OR(ISBLANK(P12),ISBLANK(AH12)),"",P12+AH12)</f>
        <v>0</v>
      </c>
      <c r="E12" s="13">
        <f t="shared" ref="E12:E24" si="1">IF(OR(ISBLANK(Q12),ISBLANK(AI12)),"",Q12+AI12)</f>
        <v>7.5600000000000005</v>
      </c>
      <c r="F12" s="33">
        <f t="shared" ref="F12:F24" si="2">IF(OR(ISBLANK(R12),ISBLANK(AJ12)),"",R12+AJ12)</f>
        <v>10.8</v>
      </c>
      <c r="G12" s="33">
        <f>AVERAGE(F12,H12)</f>
        <v>27.37017831478893</v>
      </c>
      <c r="H12" s="33">
        <f t="shared" ref="H12:H24" si="3">IF(OR(ISBLANK(T12),ISBLANK(AL12)),"",T12+AL12)</f>
        <v>43.940356629577863</v>
      </c>
      <c r="I12" s="33">
        <f>AVERAGE(H12,J12)</f>
        <v>52.641086334381228</v>
      </c>
      <c r="J12" s="33">
        <f t="shared" ref="J12:J24" si="4">IF(OR(ISBLANK(V12),ISBLANK(AN12)),"",V12+AN12)</f>
        <v>61.341816039184593</v>
      </c>
      <c r="K12" s="73"/>
      <c r="N12" s="92" t="s">
        <v>153</v>
      </c>
      <c r="O12" s="7" t="s">
        <v>151</v>
      </c>
      <c r="P12" s="7">
        <v>0</v>
      </c>
      <c r="Q12" s="31">
        <f>'SIA 390'!J46</f>
        <v>2.16</v>
      </c>
      <c r="R12" s="31">
        <f>'SIA 390'!J45</f>
        <v>3.24</v>
      </c>
      <c r="S12" s="13">
        <f t="shared" ref="S12:S24" si="5">AVERAGE(R12,T12)</f>
        <v>18.625167812359216</v>
      </c>
      <c r="T12" s="13">
        <f>ReWoTy!H26</f>
        <v>34.010335624718429</v>
      </c>
      <c r="U12" s="13">
        <f>AVERAGE(T12,V12)</f>
        <v>41.074318901951514</v>
      </c>
      <c r="V12" s="13">
        <f>ReWoTy!W5</f>
        <v>48.138302179184592</v>
      </c>
      <c r="W12" s="29" t="s">
        <v>161</v>
      </c>
      <c r="X12" s="22" t="s">
        <v>193</v>
      </c>
      <c r="Y12" s="22" t="s">
        <v>201</v>
      </c>
      <c r="Z12" s="21" t="s">
        <v>167</v>
      </c>
      <c r="AA12" s="22" t="s">
        <v>173</v>
      </c>
      <c r="AB12" s="21" t="s">
        <v>174</v>
      </c>
      <c r="AC12" s="23" t="s">
        <v>175</v>
      </c>
      <c r="AE12" s="92" t="s">
        <v>153</v>
      </c>
      <c r="AF12" s="7" t="s">
        <v>151</v>
      </c>
      <c r="AG12" s="19"/>
      <c r="AH12" s="7">
        <v>0</v>
      </c>
      <c r="AI12" s="13">
        <f>'SIA 390'!I46</f>
        <v>5.4</v>
      </c>
      <c r="AJ12" s="13">
        <f>'SIA 390'!I45</f>
        <v>7.5600000000000005</v>
      </c>
      <c r="AK12" s="13">
        <f>AVERAGE(AJ12,AL12)</f>
        <v>8.7450105024297162</v>
      </c>
      <c r="AL12" s="13">
        <f>AVERAGE('Röck et al'!H7,'Röck et al'!H9,'Röck et al'!H10)</f>
        <v>9.930021004859432</v>
      </c>
      <c r="AM12" s="13">
        <f>AVERAGE(AL12,AN12)</f>
        <v>11.566767432429717</v>
      </c>
      <c r="AN12" s="13">
        <f>AVERAGE('Röck et al'!I7,'Röck et al'!I9,'Röck et al'!I10)</f>
        <v>13.203513860000001</v>
      </c>
      <c r="AO12" s="29" t="s">
        <v>161</v>
      </c>
      <c r="AP12" s="32" t="s">
        <v>209</v>
      </c>
      <c r="AQ12" s="32" t="s">
        <v>215</v>
      </c>
      <c r="AR12" s="21" t="s">
        <v>167</v>
      </c>
      <c r="AS12" s="32" t="s">
        <v>226</v>
      </c>
      <c r="AT12" s="21" t="s">
        <v>174</v>
      </c>
      <c r="AU12" s="32" t="s">
        <v>237</v>
      </c>
    </row>
    <row r="13" spans="1:47" ht="14.4" customHeight="1" x14ac:dyDescent="0.3">
      <c r="B13" s="81"/>
      <c r="C13" s="7" t="s">
        <v>152</v>
      </c>
      <c r="D13" s="34">
        <f t="shared" si="0"/>
        <v>0</v>
      </c>
      <c r="E13" s="13">
        <f t="shared" si="1"/>
        <v>7.5600000000000005</v>
      </c>
      <c r="F13" s="33">
        <f t="shared" si="2"/>
        <v>10.8</v>
      </c>
      <c r="G13" s="33">
        <f t="shared" ref="G13:G21" si="6">AVERAGE(F13,H13)</f>
        <v>25.085153450715275</v>
      </c>
      <c r="H13" s="33">
        <f t="shared" si="3"/>
        <v>39.370306901430546</v>
      </c>
      <c r="I13" s="33">
        <f t="shared" ref="I13:I21" si="7">AVERAGE(H13,J13)</f>
        <v>46.893601595525418</v>
      </c>
      <c r="J13" s="33">
        <f t="shared" si="4"/>
        <v>54.41689628962029</v>
      </c>
      <c r="K13" s="73"/>
      <c r="N13" s="92"/>
      <c r="O13" s="7" t="s">
        <v>152</v>
      </c>
      <c r="P13" s="7">
        <v>0</v>
      </c>
      <c r="Q13" s="31">
        <f>'SIA 390'!J46</f>
        <v>2.16</v>
      </c>
      <c r="R13" s="31">
        <f>'SIA 390'!J45</f>
        <v>3.24</v>
      </c>
      <c r="S13" s="13">
        <f>AVERAGE(R13,T13)</f>
        <v>14.877471641448434</v>
      </c>
      <c r="T13" s="13">
        <f>ReWoTy!I26</f>
        <v>26.514943282896866</v>
      </c>
      <c r="U13" s="13">
        <f t="shared" ref="U13:U24" si="8">AVERAGE(T13,V13)</f>
        <v>30.666297826258578</v>
      </c>
      <c r="V13" s="13">
        <f>ReWoTy!W8</f>
        <v>34.817652369620291</v>
      </c>
      <c r="W13" s="29" t="s">
        <v>161</v>
      </c>
      <c r="X13" s="22" t="s">
        <v>194</v>
      </c>
      <c r="Y13" s="22" t="s">
        <v>202</v>
      </c>
      <c r="Z13" s="21" t="s">
        <v>167</v>
      </c>
      <c r="AA13" s="22" t="s">
        <v>173</v>
      </c>
      <c r="AB13" s="21" t="s">
        <v>174</v>
      </c>
      <c r="AC13" s="23" t="s">
        <v>175</v>
      </c>
      <c r="AE13" s="92"/>
      <c r="AF13" s="7" t="s">
        <v>152</v>
      </c>
      <c r="AG13" s="19"/>
      <c r="AH13" s="7">
        <v>0</v>
      </c>
      <c r="AI13" s="13">
        <f>'SIA 390'!I46</f>
        <v>5.4</v>
      </c>
      <c r="AJ13" s="13">
        <f>'SIA 390'!I45</f>
        <v>7.5600000000000005</v>
      </c>
      <c r="AK13" s="13">
        <f t="shared" ref="AK13:AK24" si="9">AVERAGE(AJ13,AL13)</f>
        <v>10.207681809266841</v>
      </c>
      <c r="AL13" s="13">
        <f>'Röck et al'!H8</f>
        <v>12.85536361853368</v>
      </c>
      <c r="AM13" s="13">
        <f t="shared" ref="AM13:AM24" si="10">AVERAGE(AL13,AN13)</f>
        <v>16.22730376926684</v>
      </c>
      <c r="AN13" s="13">
        <f>'Röck et al'!I8</f>
        <v>19.599243919999999</v>
      </c>
      <c r="AO13" s="29" t="s">
        <v>161</v>
      </c>
      <c r="AP13" s="32" t="s">
        <v>209</v>
      </c>
      <c r="AQ13" s="32" t="s">
        <v>215</v>
      </c>
      <c r="AR13" s="21" t="s">
        <v>167</v>
      </c>
      <c r="AS13" s="32" t="s">
        <v>227</v>
      </c>
      <c r="AT13" s="21" t="s">
        <v>174</v>
      </c>
      <c r="AU13" s="32" t="s">
        <v>238</v>
      </c>
    </row>
    <row r="14" spans="1:47" ht="14.4" customHeight="1" x14ac:dyDescent="0.3">
      <c r="B14" s="81" t="s">
        <v>154</v>
      </c>
      <c r="C14" s="7" t="s">
        <v>140</v>
      </c>
      <c r="D14" s="34">
        <f t="shared" si="0"/>
        <v>0</v>
      </c>
      <c r="E14" s="13">
        <f t="shared" si="1"/>
        <v>7.5600000000000005</v>
      </c>
      <c r="F14" s="33">
        <f t="shared" si="2"/>
        <v>10.8</v>
      </c>
      <c r="G14" s="33">
        <f t="shared" si="6"/>
        <v>37.395361186156748</v>
      </c>
      <c r="H14" s="33">
        <f t="shared" si="3"/>
        <v>63.990722372313492</v>
      </c>
      <c r="I14" s="33">
        <f t="shared" si="7"/>
        <v>76.177897097133453</v>
      </c>
      <c r="J14" s="33">
        <f t="shared" si="4"/>
        <v>88.365071821953407</v>
      </c>
      <c r="N14" s="92" t="s">
        <v>154</v>
      </c>
      <c r="O14" s="7" t="s">
        <v>140</v>
      </c>
      <c r="P14" s="7">
        <v>0</v>
      </c>
      <c r="Q14" s="31">
        <f>'SIA 390'!J46</f>
        <v>2.16</v>
      </c>
      <c r="R14" s="31">
        <f>'SIA 390'!J45</f>
        <v>3.24</v>
      </c>
      <c r="S14" s="13">
        <f>AVERAGE(R14,T14)</f>
        <v>27.880709694770786</v>
      </c>
      <c r="T14" s="13">
        <f>NWG_Stat_JB!C7</f>
        <v>52.52141938954157</v>
      </c>
      <c r="U14" s="13">
        <f>AVERAGE(T14,V14)</f>
        <v>61.446738340747487</v>
      </c>
      <c r="V14" s="13">
        <f>NWG_Stat_JB!G7</f>
        <v>70.372057291953411</v>
      </c>
      <c r="W14" s="29" t="s">
        <v>161</v>
      </c>
      <c r="X14" s="22" t="s">
        <v>195</v>
      </c>
      <c r="Y14" s="22" t="s">
        <v>203</v>
      </c>
      <c r="Z14" s="21" t="s">
        <v>167</v>
      </c>
      <c r="AA14" s="22" t="s">
        <v>172</v>
      </c>
      <c r="AB14" s="21" t="s">
        <v>174</v>
      </c>
      <c r="AC14" s="22" t="s">
        <v>172</v>
      </c>
      <c r="AE14" s="92" t="s">
        <v>154</v>
      </c>
      <c r="AF14" s="7" t="s">
        <v>140</v>
      </c>
      <c r="AG14" s="19"/>
      <c r="AH14" s="7">
        <v>0</v>
      </c>
      <c r="AI14" s="13">
        <f>'SIA 390'!I48</f>
        <v>5.4</v>
      </c>
      <c r="AJ14" s="13">
        <f>'SIA 390'!I47</f>
        <v>7.5600000000000005</v>
      </c>
      <c r="AK14" s="13">
        <f>AVERAGE(AJ14,AL14)</f>
        <v>9.5146514913859601</v>
      </c>
      <c r="AL14" s="13">
        <f>'Röck et al'!H11</f>
        <v>11.46930298277192</v>
      </c>
      <c r="AM14" s="13">
        <f t="shared" si="10"/>
        <v>14.731158756385959</v>
      </c>
      <c r="AN14" s="13">
        <f>'Röck et al'!I11</f>
        <v>17.99301453</v>
      </c>
      <c r="AO14" s="29" t="s">
        <v>161</v>
      </c>
      <c r="AP14" s="32" t="s">
        <v>210</v>
      </c>
      <c r="AQ14" s="32" t="s">
        <v>216</v>
      </c>
      <c r="AR14" s="21" t="s">
        <v>167</v>
      </c>
      <c r="AS14" s="32" t="s">
        <v>228</v>
      </c>
      <c r="AT14" s="21" t="s">
        <v>174</v>
      </c>
      <c r="AU14" s="32" t="s">
        <v>239</v>
      </c>
    </row>
    <row r="15" spans="1:47" ht="14.4" customHeight="1" x14ac:dyDescent="0.3">
      <c r="B15" s="81"/>
      <c r="C15" s="7" t="s">
        <v>141</v>
      </c>
      <c r="D15" s="34">
        <f t="shared" si="0"/>
        <v>0</v>
      </c>
      <c r="E15" s="13">
        <f t="shared" si="1"/>
        <v>8.1000000000000014</v>
      </c>
      <c r="F15" s="33">
        <f t="shared" si="2"/>
        <v>11.34</v>
      </c>
      <c r="G15" s="33">
        <f t="shared" si="6"/>
        <v>50.055825464457456</v>
      </c>
      <c r="H15" s="33">
        <f t="shared" si="3"/>
        <v>88.771650928914909</v>
      </c>
      <c r="I15" s="33">
        <f t="shared" si="7"/>
        <v>100.09869193252945</v>
      </c>
      <c r="J15" s="33">
        <f t="shared" si="4"/>
        <v>111.425732936144</v>
      </c>
      <c r="N15" s="92"/>
      <c r="O15" s="7" t="s">
        <v>141</v>
      </c>
      <c r="P15" s="7">
        <v>0</v>
      </c>
      <c r="Q15" s="31">
        <f>AVERAGE('SIA 390'!J48,'SIA 390'!J50,'SIA 390'!J52,'SIA 390'!J54)</f>
        <v>2.7</v>
      </c>
      <c r="R15" s="31">
        <f>AVERAGE('SIA 390'!J47,'SIA 390'!J49,'SIA 390'!J51,'SIA 390'!J53)</f>
        <v>3.7800000000000002</v>
      </c>
      <c r="S15" s="13">
        <f>AVERAGE(R15,T15)</f>
        <v>39.942793348164471</v>
      </c>
      <c r="T15" s="13">
        <f>NWG_Stat_JB!C9</f>
        <v>76.105586696328942</v>
      </c>
      <c r="U15" s="13">
        <f>AVERAGE(T15,V15)</f>
        <v>82.560366283736471</v>
      </c>
      <c r="V15" s="13">
        <f>NWG_Stat_JB!G9</f>
        <v>89.015145871144</v>
      </c>
      <c r="W15" s="29" t="s">
        <v>161</v>
      </c>
      <c r="X15" s="30" t="s">
        <v>196</v>
      </c>
      <c r="Y15" s="30" t="s">
        <v>204</v>
      </c>
      <c r="Z15" s="21" t="s">
        <v>167</v>
      </c>
      <c r="AA15" s="22" t="s">
        <v>172</v>
      </c>
      <c r="AB15" s="21" t="s">
        <v>174</v>
      </c>
      <c r="AC15" s="22" t="s">
        <v>172</v>
      </c>
      <c r="AE15" s="92"/>
      <c r="AF15" s="7" t="s">
        <v>141</v>
      </c>
      <c r="AG15" s="19"/>
      <c r="AH15" s="7">
        <v>0</v>
      </c>
      <c r="AI15" s="13">
        <f>AI14</f>
        <v>5.4</v>
      </c>
      <c r="AJ15" s="13">
        <f>AJ14</f>
        <v>7.5600000000000005</v>
      </c>
      <c r="AK15" s="13">
        <f t="shared" si="9"/>
        <v>10.113032116292981</v>
      </c>
      <c r="AL15" s="13">
        <f>AVERAGE(AL17,AL14)</f>
        <v>12.66606423258596</v>
      </c>
      <c r="AM15" s="13">
        <f t="shared" si="10"/>
        <v>17.538325648792981</v>
      </c>
      <c r="AN15" s="13">
        <f>AVERAGE(AN17,AN14)</f>
        <v>22.410587065000001</v>
      </c>
      <c r="AO15" s="29" t="s">
        <v>161</v>
      </c>
      <c r="AP15" s="30" t="s">
        <v>211</v>
      </c>
      <c r="AQ15" s="30" t="s">
        <v>217</v>
      </c>
      <c r="AR15" s="21" t="s">
        <v>167</v>
      </c>
      <c r="AS15" s="29" t="s">
        <v>229</v>
      </c>
      <c r="AT15" s="21" t="s">
        <v>174</v>
      </c>
      <c r="AU15" s="29" t="s">
        <v>240</v>
      </c>
    </row>
    <row r="16" spans="1:47" ht="14.4" customHeight="1" x14ac:dyDescent="0.3">
      <c r="B16" s="81"/>
      <c r="C16" s="7" t="s">
        <v>142</v>
      </c>
      <c r="D16" s="34">
        <f t="shared" si="0"/>
        <v>0</v>
      </c>
      <c r="E16" s="13">
        <f t="shared" si="1"/>
        <v>11.88</v>
      </c>
      <c r="F16" s="33">
        <f t="shared" si="2"/>
        <v>16.200000000000003</v>
      </c>
      <c r="G16" s="33">
        <f t="shared" si="6"/>
        <v>50.686164867887513</v>
      </c>
      <c r="H16" s="33">
        <f t="shared" si="3"/>
        <v>85.172329735775023</v>
      </c>
      <c r="I16" s="33">
        <f t="shared" si="7"/>
        <v>98.493068217330489</v>
      </c>
      <c r="J16" s="33">
        <f t="shared" si="4"/>
        <v>111.81380669888595</v>
      </c>
      <c r="N16" s="92"/>
      <c r="O16" s="7" t="s">
        <v>142</v>
      </c>
      <c r="P16" s="7">
        <v>0</v>
      </c>
      <c r="Q16" s="31">
        <f>'SIA 390'!J60</f>
        <v>6.48</v>
      </c>
      <c r="R16" s="31">
        <f>'SIA 390'!J59</f>
        <v>8.64</v>
      </c>
      <c r="S16" s="13">
        <f t="shared" si="5"/>
        <v>39.121287314554181</v>
      </c>
      <c r="T16" s="13">
        <f>NWG_Stat_JB!C6</f>
        <v>69.602574629108361</v>
      </c>
      <c r="U16" s="13">
        <f t="shared" si="8"/>
        <v>80.107826948997158</v>
      </c>
      <c r="V16" s="13">
        <f>NWG_Stat_JB!G6</f>
        <v>90.613079268885954</v>
      </c>
      <c r="W16" s="29" t="s">
        <v>161</v>
      </c>
      <c r="X16" s="30" t="s">
        <v>197</v>
      </c>
      <c r="Y16" s="30" t="s">
        <v>205</v>
      </c>
      <c r="Z16" s="21" t="s">
        <v>167</v>
      </c>
      <c r="AA16" s="22" t="s">
        <v>172</v>
      </c>
      <c r="AB16" s="21" t="s">
        <v>174</v>
      </c>
      <c r="AC16" s="22" t="s">
        <v>172</v>
      </c>
      <c r="AE16" s="92"/>
      <c r="AF16" s="7" t="s">
        <v>142</v>
      </c>
      <c r="AG16" s="3" t="s">
        <v>225</v>
      </c>
      <c r="AH16" s="7">
        <v>0</v>
      </c>
      <c r="AI16" s="13">
        <f>AI14</f>
        <v>5.4</v>
      </c>
      <c r="AJ16" s="13">
        <f>AJ14</f>
        <v>7.5600000000000005</v>
      </c>
      <c r="AK16" s="13">
        <f t="shared" si="9"/>
        <v>11.56487755333333</v>
      </c>
      <c r="AL16" s="13">
        <f>'Röck et al'!H12</f>
        <v>15.56975510666666</v>
      </c>
      <c r="AM16" s="13">
        <f t="shared" si="10"/>
        <v>18.385241268333331</v>
      </c>
      <c r="AN16" s="13">
        <f>'Röck et al'!I12</f>
        <v>21.200727430000001</v>
      </c>
      <c r="AO16" s="29" t="s">
        <v>161</v>
      </c>
      <c r="AP16" s="30" t="s">
        <v>211</v>
      </c>
      <c r="AQ16" s="30" t="s">
        <v>217</v>
      </c>
      <c r="AR16" s="21" t="s">
        <v>167</v>
      </c>
      <c r="AS16" s="32" t="s">
        <v>230</v>
      </c>
      <c r="AT16" s="21" t="s">
        <v>174</v>
      </c>
      <c r="AU16" s="32" t="s">
        <v>241</v>
      </c>
    </row>
    <row r="17" spans="2:47" ht="14.4" customHeight="1" x14ac:dyDescent="0.3">
      <c r="B17" s="81"/>
      <c r="C17" s="7" t="s">
        <v>143</v>
      </c>
      <c r="D17" s="34">
        <f t="shared" si="0"/>
        <v>0</v>
      </c>
      <c r="E17" s="13">
        <f t="shared" si="1"/>
        <v>7.9200000000000017</v>
      </c>
      <c r="F17" s="33">
        <f t="shared" si="2"/>
        <v>11.16</v>
      </c>
      <c r="G17" s="33">
        <f t="shared" si="6"/>
        <v>39.891314748524032</v>
      </c>
      <c r="H17" s="33">
        <f t="shared" si="3"/>
        <v>68.622629497048067</v>
      </c>
      <c r="I17" s="33">
        <f t="shared" si="7"/>
        <v>81.934529951130145</v>
      </c>
      <c r="J17" s="33">
        <f t="shared" si="4"/>
        <v>95.246430405212237</v>
      </c>
      <c r="N17" s="92"/>
      <c r="O17" s="7" t="s">
        <v>143</v>
      </c>
      <c r="P17" s="7">
        <v>0</v>
      </c>
      <c r="Q17" s="31">
        <f>AVERAGE('SIA 390'!J50,'SIA 390'!J52,'SIA 390'!J54)</f>
        <v>2.52</v>
      </c>
      <c r="R17" s="31">
        <f>AVERAGE('SIA 390'!J49,'SIA 390'!J51,'SIA 390'!J53)</f>
        <v>3.6</v>
      </c>
      <c r="S17" s="13">
        <f t="shared" si="5"/>
        <v>29.179902007324035</v>
      </c>
      <c r="T17" s="13">
        <f>NWG_Stat_JB!C11</f>
        <v>54.759804014648068</v>
      </c>
      <c r="U17" s="13">
        <f t="shared" si="8"/>
        <v>61.589037409930157</v>
      </c>
      <c r="V17" s="13">
        <f>NWG_Stat_JB!G11</f>
        <v>68.418270805212245</v>
      </c>
      <c r="W17" s="29" t="s">
        <v>161</v>
      </c>
      <c r="X17" s="22" t="s">
        <v>198</v>
      </c>
      <c r="Y17" s="22" t="s">
        <v>206</v>
      </c>
      <c r="Z17" s="21" t="s">
        <v>167</v>
      </c>
      <c r="AA17" s="22" t="s">
        <v>172</v>
      </c>
      <c r="AB17" s="21" t="s">
        <v>174</v>
      </c>
      <c r="AC17" s="22" t="s">
        <v>172</v>
      </c>
      <c r="AE17" s="92"/>
      <c r="AF17" s="7" t="s">
        <v>143</v>
      </c>
      <c r="AG17" s="19"/>
      <c r="AH17" s="7">
        <v>0</v>
      </c>
      <c r="AI17" s="13">
        <f>AVERAGE('SIA 390'!I50,'SIA 390'!I52,'SIA 390'!I54)</f>
        <v>5.4000000000000012</v>
      </c>
      <c r="AJ17" s="13">
        <f>AVERAGE('SIA 390'!I49,'SIA 390'!I51,'SIA 390'!I53)</f>
        <v>7.56</v>
      </c>
      <c r="AK17" s="13">
        <f t="shared" si="9"/>
        <v>10.7114127412</v>
      </c>
      <c r="AL17" s="13">
        <f>'Röck et al'!H13</f>
        <v>13.862825482400002</v>
      </c>
      <c r="AM17" s="13">
        <f t="shared" si="10"/>
        <v>20.345492541200002</v>
      </c>
      <c r="AN17" s="13">
        <f>'Röck et al'!I13</f>
        <v>26.828159599999999</v>
      </c>
      <c r="AO17" s="29" t="s">
        <v>161</v>
      </c>
      <c r="AP17" s="32" t="s">
        <v>212</v>
      </c>
      <c r="AQ17" s="32" t="s">
        <v>218</v>
      </c>
      <c r="AR17" s="21" t="s">
        <v>167</v>
      </c>
      <c r="AS17" s="32" t="s">
        <v>231</v>
      </c>
      <c r="AT17" s="21" t="s">
        <v>174</v>
      </c>
      <c r="AU17" s="32" t="s">
        <v>242</v>
      </c>
    </row>
    <row r="18" spans="2:47" ht="14.4" customHeight="1" x14ac:dyDescent="0.3">
      <c r="B18" s="81"/>
      <c r="C18" s="7" t="s">
        <v>144</v>
      </c>
      <c r="D18" s="34">
        <f t="shared" si="0"/>
        <v>0</v>
      </c>
      <c r="E18" s="13">
        <f t="shared" si="1"/>
        <v>7.92</v>
      </c>
      <c r="F18" s="33">
        <f t="shared" si="2"/>
        <v>11.16</v>
      </c>
      <c r="G18" s="33">
        <f t="shared" si="6"/>
        <v>51.990152958527283</v>
      </c>
      <c r="H18" s="33">
        <f t="shared" si="3"/>
        <v>92.820305917054569</v>
      </c>
      <c r="I18" s="33">
        <f t="shared" si="7"/>
        <v>121.38343233124468</v>
      </c>
      <c r="J18" s="33">
        <f t="shared" si="4"/>
        <v>149.9465587454348</v>
      </c>
      <c r="N18" s="92"/>
      <c r="O18" s="7" t="s">
        <v>144</v>
      </c>
      <c r="P18" s="7">
        <v>0</v>
      </c>
      <c r="Q18" s="31">
        <f>Q17</f>
        <v>2.52</v>
      </c>
      <c r="R18" s="31">
        <f>R17</f>
        <v>3.6</v>
      </c>
      <c r="S18" s="13">
        <f>AVERAGE(R18,T18)</f>
        <v>41.278740217327282</v>
      </c>
      <c r="T18" s="13">
        <f>NWG_Stat_JB!C5</f>
        <v>78.95748043465457</v>
      </c>
      <c r="U18" s="13">
        <f t="shared" si="8"/>
        <v>101.03793979004467</v>
      </c>
      <c r="V18" s="13">
        <f>NWG_Stat_JB!G5</f>
        <v>123.11839914543479</v>
      </c>
      <c r="W18" s="29" t="s">
        <v>161</v>
      </c>
      <c r="X18" s="23" t="s">
        <v>164</v>
      </c>
      <c r="Y18" s="23" t="s">
        <v>166</v>
      </c>
      <c r="Z18" s="21" t="s">
        <v>167</v>
      </c>
      <c r="AA18" s="22" t="s">
        <v>172</v>
      </c>
      <c r="AB18" s="21" t="s">
        <v>174</v>
      </c>
      <c r="AC18" s="22" t="s">
        <v>172</v>
      </c>
      <c r="AE18" s="92"/>
      <c r="AF18" s="7" t="s">
        <v>144</v>
      </c>
      <c r="AG18" s="3" t="s">
        <v>225</v>
      </c>
      <c r="AH18" s="7">
        <v>0</v>
      </c>
      <c r="AI18" s="13">
        <f>AI14</f>
        <v>5.4</v>
      </c>
      <c r="AJ18" s="13">
        <f>AJ14</f>
        <v>7.5600000000000005</v>
      </c>
      <c r="AK18" s="13">
        <f>AVERAGE(AJ18,AL18)</f>
        <v>10.7114127412</v>
      </c>
      <c r="AL18" s="13">
        <f>AL17</f>
        <v>13.862825482400002</v>
      </c>
      <c r="AM18" s="13">
        <f t="shared" si="10"/>
        <v>20.345492541200002</v>
      </c>
      <c r="AN18" s="13">
        <f>AN17</f>
        <v>26.828159599999999</v>
      </c>
      <c r="AO18" s="29" t="s">
        <v>161</v>
      </c>
      <c r="AP18" s="30" t="s">
        <v>211</v>
      </c>
      <c r="AQ18" s="30" t="s">
        <v>217</v>
      </c>
      <c r="AR18" s="21" t="s">
        <v>167</v>
      </c>
      <c r="AS18" s="29" t="s">
        <v>247</v>
      </c>
      <c r="AT18" s="21" t="s">
        <v>174</v>
      </c>
      <c r="AU18" s="29" t="s">
        <v>248</v>
      </c>
    </row>
    <row r="19" spans="2:47" ht="14.4" customHeight="1" x14ac:dyDescent="0.3">
      <c r="B19" s="81"/>
      <c r="C19" s="7" t="s">
        <v>145</v>
      </c>
      <c r="D19" s="34">
        <f t="shared" si="0"/>
        <v>0</v>
      </c>
      <c r="E19" s="13">
        <f t="shared" si="1"/>
        <v>7.92</v>
      </c>
      <c r="F19" s="33">
        <f t="shared" si="2"/>
        <v>11.16</v>
      </c>
      <c r="G19" s="33">
        <f t="shared" si="6"/>
        <v>36.944148906761484</v>
      </c>
      <c r="H19" s="33">
        <f t="shared" si="3"/>
        <v>62.728297813522964</v>
      </c>
      <c r="I19" s="33">
        <f t="shared" si="7"/>
        <v>73.364591558240221</v>
      </c>
      <c r="J19" s="33">
        <f t="shared" si="4"/>
        <v>84.000885302957471</v>
      </c>
      <c r="N19" s="92"/>
      <c r="O19" s="7" t="s">
        <v>145</v>
      </c>
      <c r="P19" s="7">
        <v>0</v>
      </c>
      <c r="Q19" s="31">
        <f>Q17</f>
        <v>2.52</v>
      </c>
      <c r="R19" s="31">
        <f>R17</f>
        <v>3.6</v>
      </c>
      <c r="S19" s="13">
        <f t="shared" si="5"/>
        <v>25.336599956761482</v>
      </c>
      <c r="T19" s="13">
        <f>NWG_Stat_JB!C10</f>
        <v>47.073199913522963</v>
      </c>
      <c r="U19" s="13">
        <f t="shared" si="8"/>
        <v>55.449689668240218</v>
      </c>
      <c r="V19" s="13">
        <f>NWG_Stat_JB!G10</f>
        <v>63.826179422957473</v>
      </c>
      <c r="W19" s="29" t="s">
        <v>161</v>
      </c>
      <c r="X19" s="23" t="s">
        <v>164</v>
      </c>
      <c r="Y19" s="23" t="s">
        <v>166</v>
      </c>
      <c r="Z19" s="21" t="s">
        <v>167</v>
      </c>
      <c r="AA19" s="22" t="s">
        <v>172</v>
      </c>
      <c r="AB19" s="21" t="s">
        <v>174</v>
      </c>
      <c r="AC19" s="22" t="s">
        <v>172</v>
      </c>
      <c r="AD19" s="16"/>
      <c r="AE19" s="92"/>
      <c r="AF19" s="7" t="s">
        <v>145</v>
      </c>
      <c r="AG19" s="3" t="s">
        <v>225</v>
      </c>
      <c r="AH19" s="7">
        <v>0</v>
      </c>
      <c r="AI19" s="13">
        <f>AI14</f>
        <v>5.4</v>
      </c>
      <c r="AJ19" s="13">
        <f>AJ14</f>
        <v>7.5600000000000005</v>
      </c>
      <c r="AK19" s="13">
        <f t="shared" si="9"/>
        <v>11.607548950000002</v>
      </c>
      <c r="AL19" s="13">
        <f>'Röck et al'!H14</f>
        <v>15.655097900000001</v>
      </c>
      <c r="AM19" s="13">
        <f t="shared" si="10"/>
        <v>17.914901889999999</v>
      </c>
      <c r="AN19" s="13">
        <f>'Röck et al'!I14</f>
        <v>20.174705879999998</v>
      </c>
      <c r="AO19" s="29" t="s">
        <v>161</v>
      </c>
      <c r="AP19" s="30" t="s">
        <v>211</v>
      </c>
      <c r="AQ19" s="30" t="s">
        <v>217</v>
      </c>
      <c r="AR19" s="21" t="s">
        <v>167</v>
      </c>
      <c r="AS19" s="32" t="s">
        <v>232</v>
      </c>
      <c r="AT19" s="21" t="s">
        <v>174</v>
      </c>
      <c r="AU19" s="32" t="s">
        <v>243</v>
      </c>
    </row>
    <row r="20" spans="2:47" ht="14.4" customHeight="1" x14ac:dyDescent="0.3">
      <c r="B20" s="81"/>
      <c r="C20" s="14" t="s">
        <v>146</v>
      </c>
      <c r="D20" s="34">
        <f t="shared" si="0"/>
        <v>0</v>
      </c>
      <c r="E20" s="13">
        <f>IF(OR(ISBLANK(Q20),ISBLANK(AI20)),"",Q20+AI20)</f>
        <v>11.88</v>
      </c>
      <c r="F20" s="33">
        <f>IF(OR(ISBLANK(R20),ISBLANK(AJ20)),"",R20+AJ20)</f>
        <v>16.200000000000003</v>
      </c>
      <c r="G20" s="33">
        <f t="shared" si="6"/>
        <v>62.10212608298901</v>
      </c>
      <c r="H20" s="33">
        <f t="shared" si="3"/>
        <v>108.00425216597802</v>
      </c>
      <c r="I20" s="33">
        <f t="shared" si="7"/>
        <v>125.77817204376757</v>
      </c>
      <c r="J20" s="33">
        <f t="shared" si="4"/>
        <v>143.55209192155712</v>
      </c>
      <c r="N20" s="92"/>
      <c r="O20" s="14" t="s">
        <v>146</v>
      </c>
      <c r="P20" s="7">
        <v>0</v>
      </c>
      <c r="Q20" s="31">
        <f>'SIA 390'!J60</f>
        <v>6.48</v>
      </c>
      <c r="R20" s="31">
        <f>'SIA 390'!J59</f>
        <v>8.64</v>
      </c>
      <c r="S20" s="13">
        <f>AVERAGE(R20,T20)</f>
        <v>50.537248529655677</v>
      </c>
      <c r="T20" s="13">
        <f>NWG_Stat_JB!C4</f>
        <v>92.434497059311354</v>
      </c>
      <c r="U20" s="13">
        <f t="shared" si="8"/>
        <v>107.39293077543422</v>
      </c>
      <c r="V20" s="13">
        <f>NWG_Stat_JB!G4</f>
        <v>122.35136449155711</v>
      </c>
      <c r="W20" s="29" t="s">
        <v>161</v>
      </c>
      <c r="X20" s="22" t="s">
        <v>199</v>
      </c>
      <c r="Y20" s="22" t="s">
        <v>207</v>
      </c>
      <c r="Z20" s="21" t="s">
        <v>167</v>
      </c>
      <c r="AA20" s="22" t="s">
        <v>172</v>
      </c>
      <c r="AB20" s="21" t="s">
        <v>174</v>
      </c>
      <c r="AC20" s="22" t="s">
        <v>172</v>
      </c>
      <c r="AD20" s="16"/>
      <c r="AE20" s="92"/>
      <c r="AF20" s="14" t="s">
        <v>146</v>
      </c>
      <c r="AG20" s="3" t="s">
        <v>225</v>
      </c>
      <c r="AH20" s="7">
        <v>0</v>
      </c>
      <c r="AI20" s="13">
        <f>'SIA 390'!I60</f>
        <v>5.4</v>
      </c>
      <c r="AJ20" s="13">
        <f>'SIA 390'!I59</f>
        <v>7.5600000000000005</v>
      </c>
      <c r="AK20" s="13">
        <f t="shared" si="9"/>
        <v>11.56487755333333</v>
      </c>
      <c r="AL20" s="13">
        <f>AL16</f>
        <v>15.56975510666666</v>
      </c>
      <c r="AM20" s="13">
        <f t="shared" si="10"/>
        <v>18.385241268333331</v>
      </c>
      <c r="AN20" s="13">
        <f>AN16</f>
        <v>21.200727430000001</v>
      </c>
      <c r="AO20" s="29" t="s">
        <v>161</v>
      </c>
      <c r="AP20" s="32" t="s">
        <v>213</v>
      </c>
      <c r="AQ20" s="32" t="s">
        <v>219</v>
      </c>
      <c r="AR20" s="21" t="s">
        <v>167</v>
      </c>
      <c r="AS20" s="29" t="s">
        <v>245</v>
      </c>
      <c r="AT20" s="21" t="s">
        <v>174</v>
      </c>
      <c r="AU20" s="29" t="s">
        <v>221</v>
      </c>
    </row>
    <row r="21" spans="2:47" ht="14.4" customHeight="1" x14ac:dyDescent="0.3">
      <c r="B21" s="81"/>
      <c r="C21" s="7" t="s">
        <v>147</v>
      </c>
      <c r="D21" s="34">
        <f t="shared" si="0"/>
        <v>0</v>
      </c>
      <c r="E21" s="13">
        <f t="shared" si="1"/>
        <v>8.64</v>
      </c>
      <c r="F21" s="33">
        <f t="shared" si="2"/>
        <v>14.040000000000001</v>
      </c>
      <c r="G21" s="33">
        <f t="shared" si="6"/>
        <v>40.600242907940164</v>
      </c>
      <c r="H21" s="33">
        <f t="shared" si="3"/>
        <v>67.160485815880321</v>
      </c>
      <c r="I21" s="33">
        <f t="shared" si="7"/>
        <v>77.799329421939717</v>
      </c>
      <c r="J21" s="33">
        <f t="shared" si="4"/>
        <v>88.438173027999127</v>
      </c>
      <c r="N21" s="92"/>
      <c r="O21" s="7" t="s">
        <v>147</v>
      </c>
      <c r="P21" s="7">
        <v>0</v>
      </c>
      <c r="Q21" s="31">
        <f>'SIA 390'!J56</f>
        <v>3.24</v>
      </c>
      <c r="R21" s="31">
        <f>'SIA 390'!J55</f>
        <v>6.48</v>
      </c>
      <c r="S21" s="13">
        <f t="shared" si="5"/>
        <v>31.284029228517092</v>
      </c>
      <c r="T21" s="13">
        <f>NWG_Stat_JB!C13</f>
        <v>56.088058457034187</v>
      </c>
      <c r="U21" s="13">
        <f t="shared" si="8"/>
        <v>65.361351242516662</v>
      </c>
      <c r="V21" s="13">
        <f>NWG_Stat_JB!G13</f>
        <v>74.634644027999144</v>
      </c>
      <c r="W21" s="29" t="s">
        <v>161</v>
      </c>
      <c r="X21" s="22" t="s">
        <v>200</v>
      </c>
      <c r="Y21" s="22" t="s">
        <v>208</v>
      </c>
      <c r="Z21" s="21" t="s">
        <v>167</v>
      </c>
      <c r="AA21" s="22" t="s">
        <v>172</v>
      </c>
      <c r="AB21" s="21" t="s">
        <v>174</v>
      </c>
      <c r="AC21" s="22" t="s">
        <v>172</v>
      </c>
      <c r="AD21" s="16"/>
      <c r="AE21" s="92"/>
      <c r="AF21" s="7" t="s">
        <v>147</v>
      </c>
      <c r="AG21" s="19"/>
      <c r="AH21" s="7">
        <v>0</v>
      </c>
      <c r="AI21" s="13">
        <f>'SIA 390'!I56</f>
        <v>5.4</v>
      </c>
      <c r="AJ21" s="13">
        <f>'SIA 390'!I55</f>
        <v>7.5600000000000005</v>
      </c>
      <c r="AK21" s="13">
        <f t="shared" si="9"/>
        <v>9.3162136794230701</v>
      </c>
      <c r="AL21" s="13">
        <f>'Röck et al'!H16</f>
        <v>11.07242735884614</v>
      </c>
      <c r="AM21" s="13">
        <f t="shared" si="10"/>
        <v>12.437978179423059</v>
      </c>
      <c r="AN21" s="13">
        <f>'Röck et al'!I16</f>
        <v>13.80352899999998</v>
      </c>
      <c r="AO21" s="29" t="s">
        <v>161</v>
      </c>
      <c r="AP21" s="32" t="s">
        <v>214</v>
      </c>
      <c r="AQ21" s="32" t="s">
        <v>220</v>
      </c>
      <c r="AR21" s="21" t="s">
        <v>167</v>
      </c>
      <c r="AS21" s="32" t="s">
        <v>233</v>
      </c>
      <c r="AT21" s="21" t="s">
        <v>174</v>
      </c>
      <c r="AU21" s="32" t="s">
        <v>244</v>
      </c>
    </row>
    <row r="22" spans="2:47" ht="14.4" customHeight="1" x14ac:dyDescent="0.3">
      <c r="B22" s="81"/>
      <c r="C22" s="7" t="s">
        <v>148</v>
      </c>
      <c r="D22" s="34">
        <f t="shared" si="0"/>
        <v>0</v>
      </c>
      <c r="E22" s="13">
        <f t="shared" si="1"/>
        <v>7.5600000000000005</v>
      </c>
      <c r="F22" s="33">
        <f t="shared" si="2"/>
        <v>10.8</v>
      </c>
      <c r="G22" s="33">
        <f>AVERAGE(F22,H22)</f>
        <v>59.314180386788401</v>
      </c>
      <c r="H22" s="33">
        <f t="shared" si="3"/>
        <v>107.8283607735768</v>
      </c>
      <c r="I22" s="33">
        <f>AVERAGE(H22,J22)</f>
        <v>118.53525359792118</v>
      </c>
      <c r="J22" s="33">
        <f t="shared" si="4"/>
        <v>129.24214642226556</v>
      </c>
      <c r="K22" s="10" t="s">
        <v>30</v>
      </c>
      <c r="N22" s="92"/>
      <c r="O22" s="7" t="s">
        <v>148</v>
      </c>
      <c r="P22" s="7">
        <v>0</v>
      </c>
      <c r="Q22" s="31">
        <f>Q14</f>
        <v>2.16</v>
      </c>
      <c r="R22" s="31">
        <f>R14</f>
        <v>3.24</v>
      </c>
      <c r="S22" s="13">
        <f t="shared" si="5"/>
        <v>49.997966707365329</v>
      </c>
      <c r="T22" s="13">
        <f>NWG_Stat_JB!C8</f>
        <v>96.755933414730663</v>
      </c>
      <c r="U22" s="13">
        <f t="shared" si="8"/>
        <v>106.09727541849813</v>
      </c>
      <c r="V22" s="13">
        <f>NWG_Stat_JB!G8</f>
        <v>115.43861742226559</v>
      </c>
      <c r="W22" s="29" t="s">
        <v>161</v>
      </c>
      <c r="X22" s="23" t="s">
        <v>165</v>
      </c>
      <c r="Y22" s="23" t="s">
        <v>165</v>
      </c>
      <c r="Z22" s="21" t="s">
        <v>167</v>
      </c>
      <c r="AA22" s="22" t="s">
        <v>172</v>
      </c>
      <c r="AB22" s="21" t="s">
        <v>174</v>
      </c>
      <c r="AC22" s="22" t="s">
        <v>172</v>
      </c>
      <c r="AD22" s="16"/>
      <c r="AE22" s="92"/>
      <c r="AF22" s="7" t="s">
        <v>148</v>
      </c>
      <c r="AG22" s="19"/>
      <c r="AH22" s="7">
        <f>AH21</f>
        <v>0</v>
      </c>
      <c r="AI22" s="13">
        <f>AI14</f>
        <v>5.4</v>
      </c>
      <c r="AJ22" s="13">
        <f>AJ14</f>
        <v>7.5600000000000005</v>
      </c>
      <c r="AK22" s="13">
        <f t="shared" si="9"/>
        <v>9.3162136794230701</v>
      </c>
      <c r="AL22" s="13">
        <f>AL21</f>
        <v>11.07242735884614</v>
      </c>
      <c r="AM22" s="13">
        <f t="shared" si="10"/>
        <v>12.437978179423059</v>
      </c>
      <c r="AN22" s="13">
        <f>AN21</f>
        <v>13.80352899999998</v>
      </c>
      <c r="AO22" s="29" t="s">
        <v>161</v>
      </c>
      <c r="AP22" s="30" t="s">
        <v>211</v>
      </c>
      <c r="AQ22" s="30" t="s">
        <v>217</v>
      </c>
      <c r="AR22" s="21" t="s">
        <v>167</v>
      </c>
      <c r="AS22" s="29" t="s">
        <v>234</v>
      </c>
      <c r="AT22" s="21" t="s">
        <v>174</v>
      </c>
      <c r="AU22" s="29" t="s">
        <v>222</v>
      </c>
    </row>
    <row r="23" spans="2:47" ht="14.4" customHeight="1" x14ac:dyDescent="0.3">
      <c r="B23" s="81"/>
      <c r="C23" s="7" t="s">
        <v>149</v>
      </c>
      <c r="D23" s="34">
        <f t="shared" si="0"/>
        <v>0</v>
      </c>
      <c r="E23" s="13">
        <f t="shared" si="1"/>
        <v>7.5600000000000005</v>
      </c>
      <c r="F23" s="33">
        <f t="shared" si="2"/>
        <v>10.8</v>
      </c>
      <c r="G23" s="33">
        <f>AVERAGE(F23,H23)</f>
        <v>47.805074629320217</v>
      </c>
      <c r="H23" s="33">
        <f t="shared" si="3"/>
        <v>84.810149258640436</v>
      </c>
      <c r="I23" s="33">
        <f>AVERAGE(H23,J23)</f>
        <v>103.35595266920706</v>
      </c>
      <c r="J23" s="33">
        <f t="shared" si="4"/>
        <v>121.90175607977368</v>
      </c>
      <c r="K23" s="10"/>
      <c r="N23" s="92"/>
      <c r="O23" s="7" t="s">
        <v>149</v>
      </c>
      <c r="P23" s="7">
        <v>0</v>
      </c>
      <c r="Q23" s="31">
        <f>Q14</f>
        <v>2.16</v>
      </c>
      <c r="R23" s="31">
        <f>R14</f>
        <v>3.24</v>
      </c>
      <c r="S23" s="13">
        <f t="shared" si="5"/>
        <v>38.488860949897145</v>
      </c>
      <c r="T23" s="13">
        <f>NWG_Stat_JB!C12</f>
        <v>73.737721899794295</v>
      </c>
      <c r="U23" s="13">
        <f t="shared" si="8"/>
        <v>90.917974489784001</v>
      </c>
      <c r="V23" s="13">
        <f>NWG_Stat_JB!G12</f>
        <v>108.09822707977369</v>
      </c>
      <c r="W23" s="29" t="s">
        <v>161</v>
      </c>
      <c r="X23" s="23" t="s">
        <v>165</v>
      </c>
      <c r="Y23" s="23" t="s">
        <v>165</v>
      </c>
      <c r="Z23" s="21" t="s">
        <v>167</v>
      </c>
      <c r="AA23" s="22" t="s">
        <v>172</v>
      </c>
      <c r="AB23" s="21" t="s">
        <v>174</v>
      </c>
      <c r="AC23" s="22" t="s">
        <v>172</v>
      </c>
      <c r="AD23" s="16"/>
      <c r="AE23" s="92"/>
      <c r="AF23" s="7" t="s">
        <v>149</v>
      </c>
      <c r="AG23" s="19"/>
      <c r="AH23" s="7">
        <f>AH22</f>
        <v>0</v>
      </c>
      <c r="AI23" s="13">
        <f>AI14</f>
        <v>5.4</v>
      </c>
      <c r="AJ23" s="13">
        <f>AJ14</f>
        <v>7.5600000000000005</v>
      </c>
      <c r="AK23" s="13">
        <f t="shared" si="9"/>
        <v>9.3162136794230701</v>
      </c>
      <c r="AL23" s="13">
        <f>AL22</f>
        <v>11.07242735884614</v>
      </c>
      <c r="AM23" s="13">
        <f t="shared" si="10"/>
        <v>12.437978179423059</v>
      </c>
      <c r="AN23" s="13">
        <f>AN22</f>
        <v>13.80352899999998</v>
      </c>
      <c r="AO23" s="29" t="s">
        <v>161</v>
      </c>
      <c r="AP23" s="30" t="s">
        <v>211</v>
      </c>
      <c r="AQ23" s="30" t="s">
        <v>217</v>
      </c>
      <c r="AR23" s="21" t="s">
        <v>167</v>
      </c>
      <c r="AS23" s="29" t="s">
        <v>235</v>
      </c>
      <c r="AT23" s="21" t="s">
        <v>174</v>
      </c>
      <c r="AU23" s="29" t="s">
        <v>223</v>
      </c>
    </row>
    <row r="24" spans="2:47" ht="14.4" customHeight="1" x14ac:dyDescent="0.3">
      <c r="B24" s="81"/>
      <c r="C24" s="7" t="s">
        <v>150</v>
      </c>
      <c r="D24" s="34">
        <f t="shared" si="0"/>
        <v>0</v>
      </c>
      <c r="E24" s="13">
        <f t="shared" si="1"/>
        <v>7.5600000000000005</v>
      </c>
      <c r="F24" s="33">
        <f t="shared" si="2"/>
        <v>10.8</v>
      </c>
      <c r="G24" s="33">
        <f>AVERAGE(F24,H24)</f>
        <v>50.828050573079913</v>
      </c>
      <c r="H24" s="33">
        <f t="shared" si="3"/>
        <v>90.85610114615983</v>
      </c>
      <c r="I24" s="33">
        <f>AVERAGE(H24,J24)</f>
        <v>113.06499612802774</v>
      </c>
      <c r="J24" s="33">
        <f t="shared" si="4"/>
        <v>135.27389110989566</v>
      </c>
      <c r="K24" s="10"/>
      <c r="N24" s="92"/>
      <c r="O24" s="7" t="s">
        <v>150</v>
      </c>
      <c r="P24" s="7">
        <v>0</v>
      </c>
      <c r="Q24" s="31">
        <f>Q14</f>
        <v>2.16</v>
      </c>
      <c r="R24" s="31">
        <f>R14</f>
        <v>3.24</v>
      </c>
      <c r="S24" s="13">
        <f t="shared" si="5"/>
        <v>35.975623214233771</v>
      </c>
      <c r="T24" s="13">
        <f>NWG_Stat_JB!C14</f>
        <v>68.711246428467547</v>
      </c>
      <c r="U24" s="13">
        <f t="shared" si="8"/>
        <v>88.189039769181619</v>
      </c>
      <c r="V24" s="13">
        <f>NWG_Stat_JB!G14</f>
        <v>107.66683310989571</v>
      </c>
      <c r="W24" s="29" t="s">
        <v>161</v>
      </c>
      <c r="X24" s="23" t="s">
        <v>165</v>
      </c>
      <c r="Y24" s="23" t="s">
        <v>165</v>
      </c>
      <c r="Z24" s="21" t="s">
        <v>167</v>
      </c>
      <c r="AA24" s="22" t="s">
        <v>172</v>
      </c>
      <c r="AB24" s="21" t="s">
        <v>174</v>
      </c>
      <c r="AC24" s="22" t="s">
        <v>172</v>
      </c>
      <c r="AD24" s="16"/>
      <c r="AE24" s="92"/>
      <c r="AF24" s="7" t="s">
        <v>150</v>
      </c>
      <c r="AG24" s="19"/>
      <c r="AH24" s="7">
        <f>AH23</f>
        <v>0</v>
      </c>
      <c r="AI24" s="13">
        <f>AI14</f>
        <v>5.4</v>
      </c>
      <c r="AJ24" s="13">
        <f>AJ14</f>
        <v>7.5600000000000005</v>
      </c>
      <c r="AK24" s="13">
        <f t="shared" si="9"/>
        <v>14.852427358846139</v>
      </c>
      <c r="AL24" s="13">
        <f>AL21*2</f>
        <v>22.144854717692279</v>
      </c>
      <c r="AM24" s="13">
        <f t="shared" si="10"/>
        <v>24.875956358846118</v>
      </c>
      <c r="AN24" s="13">
        <f>AN21*2</f>
        <v>27.607057999999959</v>
      </c>
      <c r="AO24" s="29" t="s">
        <v>161</v>
      </c>
      <c r="AP24" s="30" t="s">
        <v>211</v>
      </c>
      <c r="AQ24" s="30" t="s">
        <v>217</v>
      </c>
      <c r="AR24" s="21" t="s">
        <v>167</v>
      </c>
      <c r="AS24" s="29" t="s">
        <v>236</v>
      </c>
      <c r="AT24" s="21" t="s">
        <v>174</v>
      </c>
      <c r="AU24" s="29" t="s">
        <v>224</v>
      </c>
    </row>
    <row r="25" spans="2:47" x14ac:dyDescent="0.3">
      <c r="Q25" s="8"/>
      <c r="W25" s="20"/>
      <c r="AB25" s="20"/>
      <c r="AC25" s="20"/>
      <c r="AE25" s="20"/>
    </row>
    <row r="26" spans="2:47" s="24" customFormat="1" x14ac:dyDescent="0.3">
      <c r="X26" s="83" t="s">
        <v>179</v>
      </c>
      <c r="Y26" s="20"/>
      <c r="Z26" s="84" t="s">
        <v>180</v>
      </c>
      <c r="AA26" s="20"/>
      <c r="AG26" s="16"/>
      <c r="AO26" s="87"/>
    </row>
    <row r="27" spans="2:47" s="24" customFormat="1" x14ac:dyDescent="0.3">
      <c r="X27" s="42" t="s">
        <v>176</v>
      </c>
      <c r="Z27" s="24" t="s">
        <v>168</v>
      </c>
      <c r="AA27" s="82" t="s">
        <v>169</v>
      </c>
    </row>
    <row r="28" spans="2:47" s="24" customFormat="1" x14ac:dyDescent="0.3">
      <c r="X28" s="43" t="s">
        <v>177</v>
      </c>
      <c r="Z28" s="24" t="s">
        <v>170</v>
      </c>
      <c r="AA28" s="82" t="s">
        <v>171</v>
      </c>
    </row>
    <row r="29" spans="2:47" s="24" customFormat="1" x14ac:dyDescent="0.3">
      <c r="X29" s="44" t="s">
        <v>178</v>
      </c>
      <c r="Z29" s="24" t="s">
        <v>189</v>
      </c>
      <c r="AA29" s="85" t="s">
        <v>190</v>
      </c>
    </row>
    <row r="30" spans="2:47" s="24" customFormat="1" x14ac:dyDescent="0.3">
      <c r="Z30" s="24" t="s">
        <v>191</v>
      </c>
      <c r="AA30" s="85" t="s">
        <v>192</v>
      </c>
    </row>
    <row r="31" spans="2:47" s="24" customFormat="1" x14ac:dyDescent="0.3"/>
    <row r="32" spans="2:47" s="24" customFormat="1" x14ac:dyDescent="0.3">
      <c r="E32" s="45"/>
      <c r="F32" s="45"/>
      <c r="G32" s="45"/>
      <c r="H32" s="45"/>
      <c r="I32" s="45"/>
      <c r="J32" s="45"/>
    </row>
    <row r="33" spans="2:12" s="24" customFormat="1" x14ac:dyDescent="0.3">
      <c r="B33" s="40"/>
      <c r="E33" s="41"/>
      <c r="F33" s="41"/>
      <c r="G33" s="41"/>
      <c r="H33" s="41"/>
      <c r="I33" s="41"/>
      <c r="J33" s="41"/>
      <c r="K33" s="41"/>
      <c r="L33" s="41"/>
    </row>
    <row r="34" spans="2:12" s="24" customFormat="1" x14ac:dyDescent="0.3">
      <c r="B34" s="40"/>
      <c r="E34" s="41"/>
      <c r="F34" s="41"/>
      <c r="G34" s="41"/>
      <c r="H34" s="41"/>
      <c r="I34" s="41"/>
      <c r="J34" s="41"/>
      <c r="K34" s="41"/>
      <c r="L34" s="41"/>
    </row>
    <row r="35" spans="2:12" s="24" customFormat="1" x14ac:dyDescent="0.3">
      <c r="B35" s="40"/>
      <c r="E35" s="41"/>
      <c r="F35" s="41"/>
      <c r="G35" s="41"/>
      <c r="H35" s="41"/>
      <c r="I35" s="41"/>
      <c r="J35" s="41"/>
      <c r="K35" s="41"/>
      <c r="L35" s="41"/>
    </row>
    <row r="36" spans="2:12" s="24" customFormat="1" x14ac:dyDescent="0.3">
      <c r="B36" s="40"/>
      <c r="E36" s="41"/>
      <c r="F36" s="41"/>
      <c r="G36" s="41"/>
      <c r="H36" s="41"/>
      <c r="I36" s="41"/>
      <c r="J36" s="41"/>
      <c r="K36" s="41"/>
      <c r="L36" s="41"/>
    </row>
    <row r="37" spans="2:12" s="24" customFormat="1" x14ac:dyDescent="0.3">
      <c r="B37" s="40"/>
      <c r="E37" s="41"/>
      <c r="F37" s="41"/>
      <c r="G37" s="41"/>
      <c r="H37" s="41"/>
      <c r="I37" s="41"/>
      <c r="J37" s="41"/>
      <c r="K37" s="41"/>
      <c r="L37" s="41"/>
    </row>
    <row r="38" spans="2:12" s="24" customFormat="1" x14ac:dyDescent="0.3">
      <c r="B38" s="40"/>
      <c r="E38" s="41"/>
      <c r="F38" s="41"/>
      <c r="G38" s="41"/>
      <c r="H38" s="41"/>
      <c r="I38" s="41"/>
      <c r="J38" s="41"/>
      <c r="K38" s="41"/>
      <c r="L38" s="41"/>
    </row>
    <row r="39" spans="2:12" s="24" customFormat="1" x14ac:dyDescent="0.3">
      <c r="B39" s="40"/>
      <c r="E39" s="41"/>
      <c r="F39" s="41"/>
      <c r="G39" s="41"/>
      <c r="H39" s="41"/>
      <c r="I39" s="41"/>
      <c r="J39" s="41"/>
      <c r="K39" s="41"/>
      <c r="L39" s="41"/>
    </row>
    <row r="40" spans="2:12" s="24" customFormat="1" x14ac:dyDescent="0.3">
      <c r="B40" s="40"/>
      <c r="E40" s="41"/>
      <c r="F40" s="41"/>
      <c r="G40" s="41"/>
      <c r="H40" s="41"/>
      <c r="I40" s="41"/>
      <c r="J40" s="41"/>
      <c r="K40" s="41"/>
      <c r="L40" s="41"/>
    </row>
    <row r="41" spans="2:12" s="24" customFormat="1" x14ac:dyDescent="0.3">
      <c r="B41" s="40"/>
      <c r="E41" s="41"/>
      <c r="F41" s="41"/>
      <c r="G41" s="41"/>
      <c r="H41" s="41"/>
      <c r="I41" s="41"/>
      <c r="J41" s="41"/>
      <c r="K41" s="41"/>
      <c r="L41" s="41"/>
    </row>
    <row r="42" spans="2:12" s="24" customFormat="1" x14ac:dyDescent="0.3">
      <c r="B42" s="40"/>
      <c r="E42" s="41"/>
      <c r="F42" s="41"/>
      <c r="G42" s="41"/>
      <c r="H42" s="41"/>
      <c r="I42" s="41"/>
      <c r="J42" s="41"/>
      <c r="K42" s="41"/>
      <c r="L42" s="41"/>
    </row>
    <row r="43" spans="2:12" s="24" customFormat="1" x14ac:dyDescent="0.3">
      <c r="B43" s="40"/>
      <c r="E43" s="41"/>
      <c r="F43" s="41"/>
      <c r="G43" s="41"/>
      <c r="H43" s="41"/>
      <c r="I43" s="41"/>
      <c r="J43" s="41"/>
      <c r="K43" s="41"/>
      <c r="L43" s="41"/>
    </row>
    <row r="44" spans="2:12" s="24" customFormat="1" x14ac:dyDescent="0.3">
      <c r="B44" s="40"/>
      <c r="E44" s="41"/>
      <c r="F44" s="41"/>
      <c r="G44" s="41"/>
      <c r="H44" s="41"/>
      <c r="I44" s="41"/>
      <c r="J44" s="41"/>
      <c r="K44" s="41"/>
      <c r="L44" s="41"/>
    </row>
    <row r="45" spans="2:12" s="24" customFormat="1" x14ac:dyDescent="0.3">
      <c r="B45" s="40"/>
      <c r="E45" s="41"/>
      <c r="F45" s="41"/>
      <c r="G45" s="41"/>
      <c r="H45" s="41"/>
      <c r="I45" s="41"/>
      <c r="J45" s="41"/>
      <c r="K45" s="41"/>
      <c r="L45" s="41"/>
    </row>
    <row r="46" spans="2:12" s="24" customFormat="1" x14ac:dyDescent="0.3"/>
    <row r="47" spans="2:12" s="24" customFormat="1" x14ac:dyDescent="0.3">
      <c r="E47" s="45"/>
      <c r="F47" s="45"/>
      <c r="G47" s="45"/>
      <c r="H47" s="45"/>
      <c r="I47" s="45"/>
      <c r="J47" s="45"/>
    </row>
    <row r="48" spans="2:12" s="24" customFormat="1" x14ac:dyDescent="0.3">
      <c r="B48" s="40"/>
      <c r="E48" s="41"/>
      <c r="F48" s="41"/>
      <c r="G48" s="41"/>
      <c r="H48" s="41"/>
      <c r="I48" s="41"/>
      <c r="J48" s="41"/>
      <c r="K48" s="41"/>
      <c r="L48" s="41"/>
    </row>
    <row r="49" spans="2:12" s="24" customFormat="1" x14ac:dyDescent="0.3">
      <c r="B49" s="40"/>
      <c r="E49" s="41"/>
      <c r="F49" s="41"/>
      <c r="G49" s="41"/>
      <c r="H49" s="41"/>
      <c r="I49" s="41"/>
      <c r="J49" s="41"/>
      <c r="K49" s="41"/>
      <c r="L49" s="41"/>
    </row>
    <row r="50" spans="2:12" s="24" customFormat="1" x14ac:dyDescent="0.3">
      <c r="B50" s="40"/>
      <c r="E50" s="41"/>
      <c r="F50" s="41"/>
      <c r="G50" s="41"/>
      <c r="H50" s="41"/>
      <c r="I50" s="41"/>
      <c r="J50" s="41"/>
      <c r="K50" s="41"/>
      <c r="L50" s="41"/>
    </row>
    <row r="51" spans="2:12" s="24" customFormat="1" x14ac:dyDescent="0.3">
      <c r="B51" s="40"/>
      <c r="E51" s="41"/>
      <c r="F51" s="41"/>
      <c r="G51" s="41"/>
      <c r="H51" s="41"/>
      <c r="I51" s="41"/>
      <c r="J51" s="41"/>
      <c r="K51" s="41"/>
      <c r="L51" s="41"/>
    </row>
    <row r="52" spans="2:12" s="24" customFormat="1" x14ac:dyDescent="0.3">
      <c r="B52" s="40"/>
      <c r="E52" s="41"/>
      <c r="F52" s="41"/>
      <c r="G52" s="41"/>
      <c r="H52" s="41"/>
      <c r="I52" s="41"/>
      <c r="J52" s="41"/>
      <c r="K52" s="41"/>
      <c r="L52" s="41"/>
    </row>
    <row r="53" spans="2:12" s="24" customFormat="1" x14ac:dyDescent="0.3">
      <c r="B53" s="40"/>
      <c r="E53" s="41"/>
      <c r="F53" s="41"/>
      <c r="G53" s="41"/>
      <c r="H53" s="41"/>
      <c r="I53" s="41"/>
      <c r="J53" s="41"/>
      <c r="K53" s="41"/>
      <c r="L53" s="41"/>
    </row>
    <row r="54" spans="2:12" s="24" customFormat="1" x14ac:dyDescent="0.3">
      <c r="B54" s="40"/>
      <c r="E54" s="41"/>
      <c r="F54" s="41"/>
      <c r="G54" s="41"/>
      <c r="H54" s="41"/>
      <c r="I54" s="41"/>
      <c r="J54" s="41"/>
      <c r="K54" s="41"/>
      <c r="L54" s="41"/>
    </row>
    <row r="55" spans="2:12" s="24" customFormat="1" x14ac:dyDescent="0.3">
      <c r="B55" s="40"/>
      <c r="E55" s="41"/>
      <c r="F55" s="41"/>
      <c r="G55" s="41"/>
      <c r="H55" s="41"/>
      <c r="I55" s="41"/>
      <c r="J55" s="41"/>
      <c r="K55" s="41"/>
      <c r="L55" s="41"/>
    </row>
    <row r="56" spans="2:12" s="24" customFormat="1" x14ac:dyDescent="0.3">
      <c r="B56" s="40"/>
      <c r="E56" s="41"/>
      <c r="F56" s="41"/>
      <c r="G56" s="41"/>
      <c r="H56" s="41"/>
      <c r="I56" s="41"/>
      <c r="J56" s="41"/>
      <c r="K56" s="41"/>
      <c r="L56" s="41"/>
    </row>
    <row r="57" spans="2:12" s="24" customFormat="1" x14ac:dyDescent="0.3">
      <c r="B57" s="40"/>
      <c r="E57" s="41"/>
      <c r="F57" s="41"/>
      <c r="G57" s="41"/>
      <c r="H57" s="41"/>
      <c r="I57" s="41"/>
      <c r="J57" s="41"/>
      <c r="K57" s="41"/>
      <c r="L57" s="41"/>
    </row>
    <row r="58" spans="2:12" s="24" customFormat="1" x14ac:dyDescent="0.3">
      <c r="B58" s="40"/>
      <c r="E58" s="41"/>
      <c r="F58" s="41"/>
      <c r="G58" s="41"/>
      <c r="H58" s="41"/>
      <c r="I58" s="41"/>
      <c r="J58" s="41"/>
      <c r="K58" s="41"/>
      <c r="L58" s="41"/>
    </row>
    <row r="59" spans="2:12" s="24" customFormat="1" x14ac:dyDescent="0.3">
      <c r="B59" s="40"/>
      <c r="E59" s="41"/>
      <c r="F59" s="41"/>
      <c r="G59" s="41"/>
      <c r="H59" s="41"/>
      <c r="I59" s="41"/>
      <c r="J59" s="41"/>
      <c r="K59" s="41"/>
      <c r="L59" s="41"/>
    </row>
    <row r="60" spans="2:12" s="24" customFormat="1" x14ac:dyDescent="0.3">
      <c r="B60" s="40"/>
      <c r="E60" s="41"/>
      <c r="F60" s="41"/>
      <c r="G60" s="41"/>
      <c r="H60" s="41"/>
      <c r="I60" s="41"/>
      <c r="J60" s="41"/>
      <c r="K60" s="41"/>
      <c r="L60" s="41"/>
    </row>
    <row r="61" spans="2:12" s="24" customFormat="1" x14ac:dyDescent="0.3">
      <c r="E61" s="41"/>
      <c r="F61" s="41"/>
      <c r="G61" s="41"/>
      <c r="H61" s="41"/>
      <c r="I61" s="41"/>
      <c r="J61" s="41"/>
      <c r="K61" s="41"/>
      <c r="L61" s="41"/>
    </row>
    <row r="62" spans="2:12" s="24" customFormat="1" x14ac:dyDescent="0.3"/>
    <row r="63" spans="2:12" s="24" customFormat="1" x14ac:dyDescent="0.3">
      <c r="E63" s="45"/>
      <c r="F63" s="45"/>
      <c r="G63" s="45"/>
      <c r="H63" s="45"/>
      <c r="I63" s="45"/>
      <c r="J63" s="45"/>
    </row>
    <row r="64" spans="2:12" s="24" customFormat="1" x14ac:dyDescent="0.3">
      <c r="B64" s="40"/>
      <c r="E64" s="41"/>
      <c r="F64" s="41"/>
      <c r="G64" s="41"/>
      <c r="H64" s="41"/>
      <c r="I64" s="41"/>
      <c r="J64" s="41"/>
      <c r="K64" s="41"/>
      <c r="L64" s="41"/>
    </row>
    <row r="65" spans="2:12" s="24" customFormat="1" x14ac:dyDescent="0.3">
      <c r="B65" s="40"/>
      <c r="E65" s="41"/>
      <c r="F65" s="41"/>
      <c r="G65" s="41"/>
      <c r="H65" s="41"/>
      <c r="I65" s="41"/>
      <c r="J65" s="41"/>
      <c r="K65" s="41"/>
      <c r="L65" s="41"/>
    </row>
    <row r="66" spans="2:12" s="24" customFormat="1" x14ac:dyDescent="0.3">
      <c r="B66" s="40"/>
      <c r="E66" s="41"/>
      <c r="F66" s="41"/>
      <c r="G66" s="41"/>
      <c r="H66" s="41"/>
      <c r="I66" s="41"/>
      <c r="J66" s="41"/>
      <c r="K66" s="41"/>
      <c r="L66" s="41"/>
    </row>
    <row r="67" spans="2:12" s="24" customFormat="1" x14ac:dyDescent="0.3">
      <c r="B67" s="40"/>
      <c r="E67" s="41"/>
      <c r="F67" s="41"/>
      <c r="G67" s="41"/>
      <c r="H67" s="41"/>
      <c r="I67" s="41"/>
      <c r="J67" s="41"/>
      <c r="K67" s="41"/>
      <c r="L67" s="41"/>
    </row>
    <row r="68" spans="2:12" s="24" customFormat="1" x14ac:dyDescent="0.3">
      <c r="B68" s="40"/>
      <c r="E68" s="41"/>
      <c r="F68" s="41"/>
      <c r="G68" s="41"/>
      <c r="H68" s="41"/>
      <c r="I68" s="41"/>
      <c r="J68" s="41"/>
      <c r="K68" s="41"/>
      <c r="L68" s="41"/>
    </row>
    <row r="69" spans="2:12" s="24" customFormat="1" x14ac:dyDescent="0.3">
      <c r="B69" s="40"/>
      <c r="E69" s="41"/>
      <c r="F69" s="41"/>
      <c r="G69" s="41"/>
      <c r="H69" s="41"/>
      <c r="I69" s="41"/>
      <c r="J69" s="41"/>
      <c r="K69" s="41"/>
      <c r="L69" s="41"/>
    </row>
    <row r="70" spans="2:12" s="24" customFormat="1" x14ac:dyDescent="0.3">
      <c r="B70" s="40"/>
      <c r="E70" s="41"/>
      <c r="F70" s="41"/>
      <c r="G70" s="41"/>
      <c r="H70" s="41"/>
      <c r="I70" s="41"/>
      <c r="J70" s="41"/>
      <c r="K70" s="41"/>
      <c r="L70" s="41"/>
    </row>
    <row r="71" spans="2:12" s="24" customFormat="1" x14ac:dyDescent="0.3">
      <c r="B71" s="40"/>
      <c r="E71" s="41"/>
      <c r="F71" s="41"/>
      <c r="G71" s="41"/>
      <c r="H71" s="41"/>
      <c r="I71" s="41"/>
      <c r="J71" s="41"/>
      <c r="K71" s="41"/>
      <c r="L71" s="41"/>
    </row>
    <row r="72" spans="2:12" s="24" customFormat="1" x14ac:dyDescent="0.3">
      <c r="B72" s="40"/>
      <c r="E72" s="41"/>
      <c r="F72" s="41"/>
      <c r="G72" s="41"/>
      <c r="H72" s="41"/>
      <c r="I72" s="41"/>
      <c r="J72" s="41"/>
      <c r="K72" s="41"/>
      <c r="L72" s="41"/>
    </row>
    <row r="73" spans="2:12" s="24" customFormat="1" x14ac:dyDescent="0.3">
      <c r="B73" s="40"/>
      <c r="E73" s="41"/>
      <c r="F73" s="41"/>
      <c r="G73" s="41"/>
      <c r="H73" s="41"/>
      <c r="I73" s="41"/>
      <c r="J73" s="41"/>
      <c r="K73" s="41"/>
      <c r="L73" s="41"/>
    </row>
    <row r="74" spans="2:12" s="24" customFormat="1" x14ac:dyDescent="0.3">
      <c r="B74" s="40"/>
      <c r="E74" s="41"/>
      <c r="F74" s="41"/>
      <c r="G74" s="41"/>
      <c r="H74" s="41"/>
      <c r="I74" s="41"/>
      <c r="J74" s="41"/>
      <c r="K74" s="41"/>
      <c r="L74" s="41"/>
    </row>
    <row r="75" spans="2:12" s="24" customFormat="1" x14ac:dyDescent="0.3">
      <c r="B75" s="40"/>
      <c r="E75" s="41"/>
      <c r="F75" s="41"/>
      <c r="G75" s="41"/>
      <c r="H75" s="41"/>
      <c r="I75" s="41"/>
      <c r="J75" s="41"/>
      <c r="K75" s="41"/>
      <c r="L75" s="41"/>
    </row>
    <row r="76" spans="2:12" s="24" customFormat="1" x14ac:dyDescent="0.3">
      <c r="B76" s="40"/>
      <c r="E76" s="41"/>
      <c r="F76" s="41"/>
      <c r="G76" s="41"/>
      <c r="H76" s="41"/>
      <c r="I76" s="41"/>
      <c r="J76" s="41"/>
      <c r="K76" s="41"/>
      <c r="L76" s="41"/>
    </row>
    <row r="77" spans="2:12" s="24" customFormat="1" x14ac:dyDescent="0.3"/>
    <row r="78" spans="2:12" s="24" customFormat="1" x14ac:dyDescent="0.3"/>
    <row r="79" spans="2:12" s="24" customFormat="1" x14ac:dyDescent="0.3"/>
    <row r="80" spans="2:12" s="24" customFormat="1" x14ac:dyDescent="0.3"/>
    <row r="81" spans="1:15" s="24" customFormat="1" x14ac:dyDescent="0.3"/>
    <row r="82" spans="1:15" s="24" customFormat="1" x14ac:dyDescent="0.3"/>
    <row r="83" spans="1:15" x14ac:dyDescent="0.3">
      <c r="A83" s="15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15"/>
      <c r="M83" s="15"/>
      <c r="N83" s="15"/>
      <c r="O83" s="15"/>
    </row>
    <row r="84" spans="1:15" x14ac:dyDescent="0.3">
      <c r="A84" s="15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15"/>
      <c r="M84" s="15"/>
      <c r="N84" s="15"/>
      <c r="O84" s="15"/>
    </row>
    <row r="85" spans="1:15" x14ac:dyDescent="0.3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 spans="1:15" x14ac:dyDescent="0.3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15"/>
    </row>
    <row r="87" spans="1:15" x14ac:dyDescent="0.3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15"/>
    </row>
    <row r="88" spans="1:15" x14ac:dyDescent="0.3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15"/>
    </row>
    <row r="89" spans="1:15" x14ac:dyDescent="0.3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15"/>
    </row>
    <row r="90" spans="1:15" x14ac:dyDescent="0.3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15"/>
    </row>
    <row r="91" spans="1:15" x14ac:dyDescent="0.3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15"/>
    </row>
    <row r="92" spans="1:15" x14ac:dyDescent="0.3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15"/>
    </row>
    <row r="93" spans="1:15" x14ac:dyDescent="0.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15"/>
    </row>
    <row r="94" spans="1:15" x14ac:dyDescent="0.3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15"/>
    </row>
    <row r="95" spans="1:15" x14ac:dyDescent="0.3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15"/>
    </row>
    <row r="96" spans="1:15" x14ac:dyDescent="0.3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15"/>
    </row>
    <row r="97" spans="1:14" x14ac:dyDescent="0.3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15"/>
    </row>
    <row r="98" spans="1:14" x14ac:dyDescent="0.3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15"/>
    </row>
    <row r="99" spans="1:14" x14ac:dyDescent="0.3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15"/>
    </row>
    <row r="100" spans="1:14" x14ac:dyDescent="0.3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15"/>
    </row>
    <row r="101" spans="1:14" x14ac:dyDescent="0.3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</row>
    <row r="102" spans="1:14" x14ac:dyDescent="0.3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</row>
    <row r="103" spans="1:14" x14ac:dyDescent="0.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</row>
    <row r="104" spans="1:14" x14ac:dyDescent="0.3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</row>
    <row r="105" spans="1:14" x14ac:dyDescent="0.3">
      <c r="C105" s="92"/>
      <c r="D105" s="92"/>
      <c r="E105" s="93"/>
    </row>
    <row r="107" spans="1:14" x14ac:dyDescent="0.3">
      <c r="E107" s="4"/>
      <c r="F107" s="4"/>
      <c r="G107" s="4"/>
      <c r="H107" s="4"/>
      <c r="I107" s="4"/>
      <c r="J107" s="4"/>
      <c r="K107" s="4"/>
      <c r="L107" s="4"/>
    </row>
    <row r="108" spans="1:14" x14ac:dyDescent="0.3">
      <c r="E108" s="4"/>
      <c r="F108" s="4"/>
      <c r="G108" s="4"/>
      <c r="H108" s="4"/>
      <c r="I108" s="4"/>
      <c r="J108" s="4"/>
      <c r="K108" s="4"/>
      <c r="L108" s="4"/>
    </row>
    <row r="109" spans="1:14" x14ac:dyDescent="0.3">
      <c r="E109" s="4"/>
      <c r="F109" s="4"/>
      <c r="G109" s="4"/>
      <c r="H109" s="4"/>
      <c r="I109" s="4"/>
      <c r="J109" s="4"/>
      <c r="K109" s="4"/>
      <c r="L109" s="4"/>
    </row>
    <row r="110" spans="1:14" x14ac:dyDescent="0.3">
      <c r="E110" s="4"/>
      <c r="F110" s="4"/>
      <c r="G110" s="4"/>
      <c r="H110" s="4"/>
      <c r="I110" s="4"/>
      <c r="J110" s="4"/>
      <c r="K110" s="4"/>
      <c r="L110" s="4"/>
    </row>
    <row r="111" spans="1:14" x14ac:dyDescent="0.3">
      <c r="E111" s="4"/>
      <c r="F111" s="4"/>
      <c r="G111" s="4"/>
      <c r="H111" s="4"/>
      <c r="I111" s="4"/>
      <c r="J111" s="4"/>
      <c r="K111" s="4"/>
      <c r="L111" s="4"/>
    </row>
    <row r="112" spans="1:14" x14ac:dyDescent="0.3">
      <c r="E112" s="4"/>
      <c r="F112" s="4"/>
      <c r="G112" s="4"/>
      <c r="H112" s="4"/>
      <c r="I112" s="4"/>
      <c r="J112" s="4"/>
      <c r="K112" s="4"/>
      <c r="L112" s="4"/>
    </row>
    <row r="113" spans="5:12" x14ac:dyDescent="0.3">
      <c r="E113" s="4"/>
      <c r="F113" s="4"/>
      <c r="G113" s="4"/>
      <c r="H113" s="4"/>
      <c r="I113" s="4"/>
      <c r="J113" s="4"/>
      <c r="K113" s="4"/>
      <c r="L113" s="4"/>
    </row>
  </sheetData>
  <mergeCells count="12">
    <mergeCell ref="AO10:AU10"/>
    <mergeCell ref="W10:AC10"/>
    <mergeCell ref="B10:J10"/>
    <mergeCell ref="C105:E105"/>
    <mergeCell ref="N10:V10"/>
    <mergeCell ref="AE10:AN10"/>
    <mergeCell ref="N11:O11"/>
    <mergeCell ref="AE11:AF11"/>
    <mergeCell ref="N12:N13"/>
    <mergeCell ref="AE12:AE13"/>
    <mergeCell ref="N14:N24"/>
    <mergeCell ref="AE14:AE24"/>
  </mergeCells>
  <phoneticPr fontId="1" type="noConversion"/>
  <conditionalFormatting sqref="E12:J24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2:L24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  <pageSetup paperSize="9" orientation="portrait" r:id="rId1"/>
  <ignoredErrors>
    <ignoredError sqref="T14:T24 AL16:AL17 I12 G12 H12 AL13:AL14 I13:I24 G13:G24 H13:H24 AL21 AL19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5C46-A22D-47AF-BBBE-B8EDAFA7B6C1}">
  <dimension ref="A2:N60"/>
  <sheetViews>
    <sheetView zoomScale="71" workbookViewId="0">
      <selection activeCell="A21" sqref="A1:XFD21"/>
    </sheetView>
  </sheetViews>
  <sheetFormatPr defaultRowHeight="14.4" x14ac:dyDescent="0.3"/>
  <cols>
    <col min="1" max="1" width="21.109375" customWidth="1"/>
    <col min="2" max="2" width="30.21875" customWidth="1"/>
    <col min="3" max="3" width="12.109375" customWidth="1"/>
    <col min="4" max="4" width="11.33203125" customWidth="1"/>
    <col min="6" max="8" width="12.109375" customWidth="1"/>
    <col min="9" max="11" width="12.77734375" customWidth="1"/>
  </cols>
  <sheetData>
    <row r="2" spans="1:14" x14ac:dyDescent="0.3">
      <c r="A2" s="100" t="s">
        <v>156</v>
      </c>
      <c r="B2" s="100"/>
      <c r="C2" s="88" t="s">
        <v>77</v>
      </c>
      <c r="D2" s="88"/>
      <c r="E2" s="88"/>
      <c r="F2" s="88" t="s">
        <v>157</v>
      </c>
      <c r="G2" s="88"/>
      <c r="H2" s="88"/>
      <c r="I2" s="88" t="s">
        <v>84</v>
      </c>
      <c r="J2" s="88"/>
      <c r="K2" s="88"/>
      <c r="N2" t="s">
        <v>246</v>
      </c>
    </row>
    <row r="3" spans="1:14" x14ac:dyDescent="0.3">
      <c r="A3" s="100"/>
      <c r="B3" s="100"/>
      <c r="C3" s="88" t="s">
        <v>99</v>
      </c>
      <c r="D3" s="88"/>
      <c r="E3" s="88"/>
      <c r="F3" s="88" t="s">
        <v>99</v>
      </c>
      <c r="G3" s="88"/>
      <c r="H3" s="88"/>
      <c r="I3" s="88" t="s">
        <v>100</v>
      </c>
      <c r="J3" s="88"/>
      <c r="K3" s="88"/>
      <c r="N3">
        <v>0.9</v>
      </c>
    </row>
    <row r="4" spans="1:14" x14ac:dyDescent="0.3">
      <c r="A4" s="100"/>
      <c r="B4" s="100"/>
      <c r="C4" s="3" t="s">
        <v>72</v>
      </c>
      <c r="D4" s="3" t="s">
        <v>73</v>
      </c>
      <c r="E4" s="3" t="s">
        <v>76</v>
      </c>
      <c r="F4" s="3" t="s">
        <v>72</v>
      </c>
      <c r="G4" s="3" t="s">
        <v>73</v>
      </c>
      <c r="H4" s="3" t="s">
        <v>76</v>
      </c>
      <c r="I4" s="3" t="s">
        <v>72</v>
      </c>
      <c r="J4" s="3" t="s">
        <v>73</v>
      </c>
      <c r="K4" s="3" t="s">
        <v>76</v>
      </c>
    </row>
    <row r="5" spans="1:14" x14ac:dyDescent="0.3">
      <c r="A5" s="97" t="s">
        <v>0</v>
      </c>
      <c r="B5" s="3" t="s">
        <v>74</v>
      </c>
      <c r="C5" s="3">
        <v>9</v>
      </c>
      <c r="D5" s="3">
        <v>2</v>
      </c>
      <c r="E5" s="3">
        <f>C5+D5</f>
        <v>11</v>
      </c>
      <c r="F5" s="3">
        <f t="shared" ref="F5:F20" si="0">C5*60/50</f>
        <v>10.8</v>
      </c>
      <c r="G5" s="3">
        <f t="shared" ref="G5:G20" si="1">D5*60/50</f>
        <v>2.4</v>
      </c>
      <c r="H5" s="3">
        <f>F5+G5</f>
        <v>13.200000000000001</v>
      </c>
      <c r="I5" s="3">
        <f>F5*$N$3</f>
        <v>9.7200000000000006</v>
      </c>
      <c r="J5" s="3">
        <f>G5*$N$3</f>
        <v>2.16</v>
      </c>
      <c r="K5" s="3">
        <f>H5*$N$3</f>
        <v>11.88</v>
      </c>
    </row>
    <row r="6" spans="1:14" x14ac:dyDescent="0.3">
      <c r="A6" s="97"/>
      <c r="B6" s="3" t="s">
        <v>75</v>
      </c>
      <c r="C6" s="3">
        <v>6</v>
      </c>
      <c r="D6" s="3">
        <v>1</v>
      </c>
      <c r="E6" s="3">
        <f>C6+D6</f>
        <v>7</v>
      </c>
      <c r="F6" s="3">
        <f t="shared" si="0"/>
        <v>7.2</v>
      </c>
      <c r="G6" s="3">
        <f t="shared" si="1"/>
        <v>1.2</v>
      </c>
      <c r="H6" s="3">
        <f>F6+G6</f>
        <v>8.4</v>
      </c>
      <c r="I6" s="3">
        <f>F6*$N$3</f>
        <v>6.48</v>
      </c>
      <c r="J6" s="3">
        <f>G6*$N$3</f>
        <v>1.08</v>
      </c>
      <c r="K6" s="3">
        <f>H6*$N$3</f>
        <v>7.5600000000000005</v>
      </c>
    </row>
    <row r="7" spans="1:14" x14ac:dyDescent="0.3">
      <c r="A7" s="97" t="s">
        <v>71</v>
      </c>
      <c r="B7" s="3" t="s">
        <v>74</v>
      </c>
      <c r="C7" s="3">
        <v>9</v>
      </c>
      <c r="D7" s="3">
        <v>3</v>
      </c>
      <c r="E7" s="3">
        <f t="shared" ref="E7:E18" si="2">C7+D7</f>
        <v>12</v>
      </c>
      <c r="F7" s="3">
        <f t="shared" si="0"/>
        <v>10.8</v>
      </c>
      <c r="G7" s="3">
        <f t="shared" si="1"/>
        <v>3.6</v>
      </c>
      <c r="H7" s="3">
        <f t="shared" ref="H7:H20" si="3">F7+G7</f>
        <v>14.4</v>
      </c>
      <c r="I7" s="3">
        <f>F7*$N$3</f>
        <v>9.7200000000000006</v>
      </c>
      <c r="J7" s="3">
        <f>G7*$N$3</f>
        <v>3.24</v>
      </c>
      <c r="K7" s="3">
        <f>H7*$N$3</f>
        <v>12.96</v>
      </c>
    </row>
    <row r="8" spans="1:14" x14ac:dyDescent="0.3">
      <c r="A8" s="97"/>
      <c r="B8" s="3" t="s">
        <v>75</v>
      </c>
      <c r="C8" s="3">
        <v>6</v>
      </c>
      <c r="D8" s="3">
        <v>2</v>
      </c>
      <c r="E8" s="3">
        <f t="shared" si="2"/>
        <v>8</v>
      </c>
      <c r="F8" s="3">
        <f t="shared" si="0"/>
        <v>7.2</v>
      </c>
      <c r="G8" s="3">
        <f t="shared" si="1"/>
        <v>2.4</v>
      </c>
      <c r="H8" s="3">
        <f t="shared" si="3"/>
        <v>9.6</v>
      </c>
      <c r="I8" s="3">
        <f>F8*$N$3</f>
        <v>6.48</v>
      </c>
      <c r="J8" s="3">
        <f>G8*$N$3</f>
        <v>2.16</v>
      </c>
      <c r="K8" s="3">
        <f>H8*$N$3</f>
        <v>8.64</v>
      </c>
    </row>
    <row r="9" spans="1:14" x14ac:dyDescent="0.3">
      <c r="A9" s="97" t="s">
        <v>83</v>
      </c>
      <c r="B9" s="3" t="s">
        <v>74</v>
      </c>
      <c r="C9" s="3">
        <v>9</v>
      </c>
      <c r="D9" s="3">
        <v>2</v>
      </c>
      <c r="E9" s="3">
        <f t="shared" si="2"/>
        <v>11</v>
      </c>
      <c r="F9" s="3">
        <f t="shared" si="0"/>
        <v>10.8</v>
      </c>
      <c r="G9" s="3">
        <f t="shared" si="1"/>
        <v>2.4</v>
      </c>
      <c r="H9" s="3">
        <f t="shared" si="3"/>
        <v>13.200000000000001</v>
      </c>
      <c r="I9" s="3">
        <f>F9*$N$3</f>
        <v>9.7200000000000006</v>
      </c>
      <c r="J9" s="3">
        <f>G9*$N$3</f>
        <v>2.16</v>
      </c>
      <c r="K9" s="3">
        <f>H9*$N$3</f>
        <v>11.88</v>
      </c>
    </row>
    <row r="10" spans="1:14" x14ac:dyDescent="0.3">
      <c r="A10" s="97"/>
      <c r="B10" s="3" t="s">
        <v>75</v>
      </c>
      <c r="C10" s="3">
        <v>6</v>
      </c>
      <c r="D10" s="3">
        <v>1</v>
      </c>
      <c r="E10" s="3">
        <f t="shared" si="2"/>
        <v>7</v>
      </c>
      <c r="F10" s="3">
        <f t="shared" si="0"/>
        <v>7.2</v>
      </c>
      <c r="G10" s="3">
        <f t="shared" si="1"/>
        <v>1.2</v>
      </c>
      <c r="H10" s="3">
        <f t="shared" si="3"/>
        <v>8.4</v>
      </c>
      <c r="I10" s="3">
        <f>F10*$N$3</f>
        <v>6.48</v>
      </c>
      <c r="J10" s="3">
        <f>G10*$N$3</f>
        <v>1.08</v>
      </c>
      <c r="K10" s="3">
        <f>H10*$N$3</f>
        <v>7.5600000000000005</v>
      </c>
    </row>
    <row r="11" spans="1:14" x14ac:dyDescent="0.3">
      <c r="A11" s="97" t="s">
        <v>78</v>
      </c>
      <c r="B11" s="3" t="s">
        <v>74</v>
      </c>
      <c r="C11" s="3">
        <v>9</v>
      </c>
      <c r="D11" s="3">
        <v>2</v>
      </c>
      <c r="E11" s="3">
        <f t="shared" si="2"/>
        <v>11</v>
      </c>
      <c r="F11" s="3">
        <f t="shared" si="0"/>
        <v>10.8</v>
      </c>
      <c r="G11" s="3">
        <f t="shared" si="1"/>
        <v>2.4</v>
      </c>
      <c r="H11" s="3">
        <f t="shared" si="3"/>
        <v>13.200000000000001</v>
      </c>
      <c r="I11" s="3">
        <f>F11*$N$3</f>
        <v>9.7200000000000006</v>
      </c>
      <c r="J11" s="3">
        <f>G11*$N$3</f>
        <v>2.16</v>
      </c>
      <c r="K11" s="3">
        <f>H11*$N$3</f>
        <v>11.88</v>
      </c>
    </row>
    <row r="12" spans="1:14" x14ac:dyDescent="0.3">
      <c r="A12" s="97"/>
      <c r="B12" s="3" t="s">
        <v>75</v>
      </c>
      <c r="C12" s="3">
        <v>6</v>
      </c>
      <c r="D12" s="3">
        <v>1</v>
      </c>
      <c r="E12" s="3">
        <f t="shared" si="2"/>
        <v>7</v>
      </c>
      <c r="F12" s="3">
        <f t="shared" si="0"/>
        <v>7.2</v>
      </c>
      <c r="G12" s="3">
        <f t="shared" si="1"/>
        <v>1.2</v>
      </c>
      <c r="H12" s="3">
        <f t="shared" si="3"/>
        <v>8.4</v>
      </c>
      <c r="I12" s="3">
        <f>F12*$N$3</f>
        <v>6.48</v>
      </c>
      <c r="J12" s="3">
        <f>G12*$N$3</f>
        <v>1.08</v>
      </c>
      <c r="K12" s="3">
        <f>H12*$N$3</f>
        <v>7.5600000000000005</v>
      </c>
    </row>
    <row r="13" spans="1:14" x14ac:dyDescent="0.3">
      <c r="A13" s="97" t="s">
        <v>79</v>
      </c>
      <c r="B13" s="3" t="s">
        <v>74</v>
      </c>
      <c r="C13" s="3">
        <v>9</v>
      </c>
      <c r="D13" s="3">
        <v>3</v>
      </c>
      <c r="E13" s="3">
        <f t="shared" si="2"/>
        <v>12</v>
      </c>
      <c r="F13" s="3">
        <f t="shared" si="0"/>
        <v>10.8</v>
      </c>
      <c r="G13" s="3">
        <f t="shared" si="1"/>
        <v>3.6</v>
      </c>
      <c r="H13" s="3">
        <f t="shared" si="3"/>
        <v>14.4</v>
      </c>
      <c r="I13" s="3">
        <f>F13*$N$3</f>
        <v>9.7200000000000006</v>
      </c>
      <c r="J13" s="3">
        <f>G13*$N$3</f>
        <v>3.24</v>
      </c>
      <c r="K13" s="3">
        <f>H13*$N$3</f>
        <v>12.96</v>
      </c>
    </row>
    <row r="14" spans="1:14" x14ac:dyDescent="0.3">
      <c r="A14" s="97"/>
      <c r="B14" s="3" t="s">
        <v>75</v>
      </c>
      <c r="C14" s="3">
        <v>6</v>
      </c>
      <c r="D14" s="3">
        <v>2</v>
      </c>
      <c r="E14" s="3">
        <f t="shared" si="2"/>
        <v>8</v>
      </c>
      <c r="F14" s="3">
        <f t="shared" si="0"/>
        <v>7.2</v>
      </c>
      <c r="G14" s="3">
        <f t="shared" si="1"/>
        <v>2.4</v>
      </c>
      <c r="H14" s="3">
        <f t="shared" si="3"/>
        <v>9.6</v>
      </c>
      <c r="I14" s="3">
        <f>F14*$N$3</f>
        <v>6.48</v>
      </c>
      <c r="J14" s="3">
        <f>G14*$N$3</f>
        <v>2.16</v>
      </c>
      <c r="K14" s="3">
        <f>H14*$N$3</f>
        <v>8.64</v>
      </c>
    </row>
    <row r="15" spans="1:14" x14ac:dyDescent="0.3">
      <c r="A15" s="97" t="s">
        <v>80</v>
      </c>
      <c r="B15" s="3" t="s">
        <v>74</v>
      </c>
      <c r="C15" s="3">
        <v>9</v>
      </c>
      <c r="D15" s="3">
        <v>5</v>
      </c>
      <c r="E15" s="3">
        <f t="shared" si="2"/>
        <v>14</v>
      </c>
      <c r="F15" s="3">
        <f t="shared" si="0"/>
        <v>10.8</v>
      </c>
      <c r="G15" s="3">
        <f t="shared" si="1"/>
        <v>6</v>
      </c>
      <c r="H15" s="3">
        <f t="shared" si="3"/>
        <v>16.8</v>
      </c>
      <c r="I15" s="3">
        <f>F15*$N$3</f>
        <v>9.7200000000000006</v>
      </c>
      <c r="J15" s="3">
        <f>G15*$N$3</f>
        <v>5.4</v>
      </c>
      <c r="K15" s="3">
        <f>H15*$N$3</f>
        <v>15.120000000000001</v>
      </c>
    </row>
    <row r="16" spans="1:14" x14ac:dyDescent="0.3">
      <c r="A16" s="97"/>
      <c r="B16" s="3" t="s">
        <v>75</v>
      </c>
      <c r="C16" s="3">
        <v>6</v>
      </c>
      <c r="D16" s="3">
        <v>2</v>
      </c>
      <c r="E16" s="3">
        <f t="shared" si="2"/>
        <v>8</v>
      </c>
      <c r="F16" s="3">
        <f t="shared" si="0"/>
        <v>7.2</v>
      </c>
      <c r="G16" s="3">
        <f t="shared" si="1"/>
        <v>2.4</v>
      </c>
      <c r="H16" s="3">
        <f t="shared" si="3"/>
        <v>9.6</v>
      </c>
      <c r="I16" s="3">
        <f>F16*$N$3</f>
        <v>6.48</v>
      </c>
      <c r="J16" s="3">
        <f>G16*$N$3</f>
        <v>2.16</v>
      </c>
      <c r="K16" s="3">
        <f>H16*$N$3</f>
        <v>8.64</v>
      </c>
    </row>
    <row r="17" spans="1:11" x14ac:dyDescent="0.3">
      <c r="A17" s="97" t="s">
        <v>81</v>
      </c>
      <c r="B17" s="3" t="s">
        <v>74</v>
      </c>
      <c r="C17" s="3">
        <v>9</v>
      </c>
      <c r="D17" s="3">
        <v>27</v>
      </c>
      <c r="E17" s="3">
        <f t="shared" si="2"/>
        <v>36</v>
      </c>
      <c r="F17" s="3">
        <f t="shared" si="0"/>
        <v>10.8</v>
      </c>
      <c r="G17" s="3">
        <f t="shared" si="1"/>
        <v>32.4</v>
      </c>
      <c r="H17" s="3">
        <f t="shared" si="3"/>
        <v>43.2</v>
      </c>
      <c r="I17" s="3">
        <f>F17*$N$3</f>
        <v>9.7200000000000006</v>
      </c>
      <c r="J17" s="3">
        <f>G17*$N$3</f>
        <v>29.16</v>
      </c>
      <c r="K17" s="3">
        <f>H17*$N$3</f>
        <v>38.880000000000003</v>
      </c>
    </row>
    <row r="18" spans="1:11" x14ac:dyDescent="0.3">
      <c r="A18" s="97"/>
      <c r="B18" s="3" t="s">
        <v>75</v>
      </c>
      <c r="C18" s="3">
        <v>6</v>
      </c>
      <c r="D18" s="3">
        <v>16</v>
      </c>
      <c r="E18" s="3">
        <f t="shared" si="2"/>
        <v>22</v>
      </c>
      <c r="F18" s="3">
        <f t="shared" si="0"/>
        <v>7.2</v>
      </c>
      <c r="G18" s="3">
        <f t="shared" si="1"/>
        <v>19.2</v>
      </c>
      <c r="H18" s="3">
        <f t="shared" si="3"/>
        <v>26.4</v>
      </c>
      <c r="I18" s="3">
        <f>F18*$N$3</f>
        <v>6.48</v>
      </c>
      <c r="J18" s="3">
        <f>G18*$N$3</f>
        <v>17.28</v>
      </c>
      <c r="K18" s="3">
        <f>H18*$N$3</f>
        <v>23.759999999999998</v>
      </c>
    </row>
    <row r="19" spans="1:11" x14ac:dyDescent="0.3">
      <c r="A19" s="97" t="s">
        <v>82</v>
      </c>
      <c r="B19" s="3" t="s">
        <v>74</v>
      </c>
      <c r="C19" s="3">
        <v>9</v>
      </c>
      <c r="D19" s="3">
        <v>7</v>
      </c>
      <c r="E19" s="3">
        <f>C19+D19</f>
        <v>16</v>
      </c>
      <c r="F19" s="3">
        <f t="shared" si="0"/>
        <v>10.8</v>
      </c>
      <c r="G19" s="3">
        <f t="shared" si="1"/>
        <v>8.4</v>
      </c>
      <c r="H19" s="3">
        <f t="shared" si="3"/>
        <v>19.200000000000003</v>
      </c>
      <c r="I19" s="3">
        <f>F19*$N$3</f>
        <v>9.7200000000000006</v>
      </c>
      <c r="J19" s="3">
        <f>G19*$N$3</f>
        <v>7.5600000000000005</v>
      </c>
      <c r="K19" s="3">
        <f>H19*$N$3</f>
        <v>17.280000000000005</v>
      </c>
    </row>
    <row r="20" spans="1:11" x14ac:dyDescent="0.3">
      <c r="A20" s="97"/>
      <c r="B20" s="3" t="s">
        <v>75</v>
      </c>
      <c r="C20" s="3">
        <v>6</v>
      </c>
      <c r="D20" s="3">
        <v>5</v>
      </c>
      <c r="E20" s="3">
        <f>C20+D20</f>
        <v>11</v>
      </c>
      <c r="F20" s="3">
        <f t="shared" si="0"/>
        <v>7.2</v>
      </c>
      <c r="G20" s="3">
        <f t="shared" si="1"/>
        <v>6</v>
      </c>
      <c r="H20" s="3">
        <f t="shared" si="3"/>
        <v>13.2</v>
      </c>
      <c r="I20" s="3">
        <f>F20*$N$3</f>
        <v>6.48</v>
      </c>
      <c r="J20" s="3">
        <f>G20*$N$3</f>
        <v>5.4</v>
      </c>
      <c r="K20" s="3">
        <f>H20*$N$3</f>
        <v>11.879999999999999</v>
      </c>
    </row>
    <row r="22" spans="1:11" x14ac:dyDescent="0.3">
      <c r="A22" s="100" t="s">
        <v>158</v>
      </c>
      <c r="B22" s="100"/>
      <c r="C22" s="88" t="s">
        <v>77</v>
      </c>
      <c r="D22" s="88"/>
      <c r="E22" s="88"/>
      <c r="F22" s="88" t="s">
        <v>157</v>
      </c>
      <c r="G22" s="88"/>
      <c r="H22" s="88"/>
      <c r="I22" s="88" t="s">
        <v>84</v>
      </c>
      <c r="J22" s="88"/>
      <c r="K22" s="88"/>
    </row>
    <row r="23" spans="1:11" x14ac:dyDescent="0.3">
      <c r="A23" s="100"/>
      <c r="B23" s="100"/>
      <c r="C23" s="88" t="s">
        <v>99</v>
      </c>
      <c r="D23" s="88"/>
      <c r="E23" s="88"/>
      <c r="F23" s="88" t="s">
        <v>99</v>
      </c>
      <c r="G23" s="88"/>
      <c r="H23" s="88"/>
      <c r="I23" s="88" t="s">
        <v>100</v>
      </c>
      <c r="J23" s="88"/>
      <c r="K23" s="88"/>
    </row>
    <row r="24" spans="1:11" x14ac:dyDescent="0.3">
      <c r="A24" s="100"/>
      <c r="B24" s="100"/>
      <c r="C24" s="3" t="s">
        <v>72</v>
      </c>
      <c r="D24" s="3" t="s">
        <v>73</v>
      </c>
      <c r="E24" s="3" t="s">
        <v>76</v>
      </c>
      <c r="F24" s="3" t="s">
        <v>72</v>
      </c>
      <c r="G24" s="3" t="s">
        <v>73</v>
      </c>
      <c r="H24" s="3" t="s">
        <v>76</v>
      </c>
      <c r="I24" s="3" t="s">
        <v>72</v>
      </c>
      <c r="J24" s="3" t="s">
        <v>73</v>
      </c>
      <c r="K24" s="3" t="s">
        <v>76</v>
      </c>
    </row>
    <row r="25" spans="1:11" x14ac:dyDescent="0.3">
      <c r="A25" s="97" t="s">
        <v>0</v>
      </c>
      <c r="B25" s="3" t="s">
        <v>74</v>
      </c>
      <c r="C25" s="3">
        <v>5</v>
      </c>
      <c r="D25" s="3">
        <v>4</v>
      </c>
      <c r="E25" s="3">
        <f>C25+D25</f>
        <v>9</v>
      </c>
      <c r="F25" s="3">
        <f t="shared" ref="F25:F40" si="4">C25*60/50</f>
        <v>6</v>
      </c>
      <c r="G25" s="3">
        <f t="shared" ref="G25:G40" si="5">D25*60/50</f>
        <v>4.8</v>
      </c>
      <c r="H25" s="3">
        <f>F25+G25</f>
        <v>10.8</v>
      </c>
      <c r="I25" s="3">
        <f>F25*$N$3</f>
        <v>5.4</v>
      </c>
      <c r="J25" s="3">
        <f>G25*$N$3</f>
        <v>4.32</v>
      </c>
      <c r="K25" s="3">
        <f>H25*$N$3</f>
        <v>9.7200000000000006</v>
      </c>
    </row>
    <row r="26" spans="1:11" x14ac:dyDescent="0.3">
      <c r="A26" s="97"/>
      <c r="B26" s="3" t="s">
        <v>75</v>
      </c>
      <c r="C26" s="3">
        <v>4</v>
      </c>
      <c r="D26" s="3">
        <v>3</v>
      </c>
      <c r="E26" s="3">
        <f>C26+D26</f>
        <v>7</v>
      </c>
      <c r="F26" s="3">
        <f t="shared" si="4"/>
        <v>4.8</v>
      </c>
      <c r="G26" s="3">
        <f t="shared" si="5"/>
        <v>3.6</v>
      </c>
      <c r="H26" s="3">
        <f>F26+G26</f>
        <v>8.4</v>
      </c>
      <c r="I26" s="3">
        <f>F26*$N$3</f>
        <v>4.32</v>
      </c>
      <c r="J26" s="3">
        <f>G26*$N$3</f>
        <v>3.24</v>
      </c>
      <c r="K26" s="3">
        <f>H26*$N$3</f>
        <v>7.5600000000000005</v>
      </c>
    </row>
    <row r="27" spans="1:11" x14ac:dyDescent="0.3">
      <c r="A27" s="97" t="s">
        <v>71</v>
      </c>
      <c r="B27" s="3" t="s">
        <v>74</v>
      </c>
      <c r="C27" s="3">
        <v>5</v>
      </c>
      <c r="D27" s="3">
        <v>5</v>
      </c>
      <c r="E27" s="3">
        <f t="shared" ref="E27:E38" si="6">C27+D27</f>
        <v>10</v>
      </c>
      <c r="F27" s="3">
        <f t="shared" si="4"/>
        <v>6</v>
      </c>
      <c r="G27" s="3">
        <f t="shared" si="5"/>
        <v>6</v>
      </c>
      <c r="H27" s="3">
        <f t="shared" ref="H27:H40" si="7">F27+G27</f>
        <v>12</v>
      </c>
      <c r="I27" s="3">
        <f>F27*$N$3</f>
        <v>5.4</v>
      </c>
      <c r="J27" s="3">
        <f>G27*$N$3</f>
        <v>5.4</v>
      </c>
      <c r="K27" s="3">
        <f>H27*$N$3</f>
        <v>10.8</v>
      </c>
    </row>
    <row r="28" spans="1:11" x14ac:dyDescent="0.3">
      <c r="A28" s="97"/>
      <c r="B28" s="3" t="s">
        <v>75</v>
      </c>
      <c r="C28" s="3">
        <v>4</v>
      </c>
      <c r="D28" s="3">
        <v>4</v>
      </c>
      <c r="E28" s="3">
        <f t="shared" si="6"/>
        <v>8</v>
      </c>
      <c r="F28" s="3">
        <f t="shared" si="4"/>
        <v>4.8</v>
      </c>
      <c r="G28" s="3">
        <f t="shared" si="5"/>
        <v>4.8</v>
      </c>
      <c r="H28" s="3">
        <f t="shared" si="7"/>
        <v>9.6</v>
      </c>
      <c r="I28" s="3">
        <f>F28*$N$3</f>
        <v>4.32</v>
      </c>
      <c r="J28" s="3">
        <f>G28*$N$3</f>
        <v>4.32</v>
      </c>
      <c r="K28" s="3">
        <f>H28*$N$3</f>
        <v>8.64</v>
      </c>
    </row>
    <row r="29" spans="1:11" x14ac:dyDescent="0.3">
      <c r="A29" s="97" t="s">
        <v>83</v>
      </c>
      <c r="B29" s="3" t="s">
        <v>74</v>
      </c>
      <c r="C29" s="3">
        <v>5</v>
      </c>
      <c r="D29" s="3">
        <v>4</v>
      </c>
      <c r="E29" s="3">
        <f t="shared" si="6"/>
        <v>9</v>
      </c>
      <c r="F29" s="3">
        <f t="shared" si="4"/>
        <v>6</v>
      </c>
      <c r="G29" s="3">
        <f t="shared" si="5"/>
        <v>4.8</v>
      </c>
      <c r="H29" s="3">
        <f t="shared" si="7"/>
        <v>10.8</v>
      </c>
      <c r="I29" s="3">
        <f>F29*$N$3</f>
        <v>5.4</v>
      </c>
      <c r="J29" s="3">
        <f>G29*$N$3</f>
        <v>4.32</v>
      </c>
      <c r="K29" s="3">
        <f>H29*$N$3</f>
        <v>9.7200000000000006</v>
      </c>
    </row>
    <row r="30" spans="1:11" x14ac:dyDescent="0.3">
      <c r="A30" s="97"/>
      <c r="B30" s="3" t="s">
        <v>75</v>
      </c>
      <c r="C30" s="3">
        <v>4</v>
      </c>
      <c r="D30" s="3">
        <v>3</v>
      </c>
      <c r="E30" s="3">
        <f t="shared" si="6"/>
        <v>7</v>
      </c>
      <c r="F30" s="3">
        <f t="shared" si="4"/>
        <v>4.8</v>
      </c>
      <c r="G30" s="3">
        <f t="shared" si="5"/>
        <v>3.6</v>
      </c>
      <c r="H30" s="3">
        <f t="shared" si="7"/>
        <v>8.4</v>
      </c>
      <c r="I30" s="3">
        <f>F30*$N$3</f>
        <v>4.32</v>
      </c>
      <c r="J30" s="3">
        <f>G30*$N$3</f>
        <v>3.24</v>
      </c>
      <c r="K30" s="3">
        <f>H30*$N$3</f>
        <v>7.5600000000000005</v>
      </c>
    </row>
    <row r="31" spans="1:11" x14ac:dyDescent="0.3">
      <c r="A31" s="97" t="s">
        <v>78</v>
      </c>
      <c r="B31" s="3" t="s">
        <v>74</v>
      </c>
      <c r="C31" s="3">
        <v>5</v>
      </c>
      <c r="D31" s="3">
        <v>4</v>
      </c>
      <c r="E31" s="3">
        <f t="shared" si="6"/>
        <v>9</v>
      </c>
      <c r="F31" s="3">
        <f t="shared" si="4"/>
        <v>6</v>
      </c>
      <c r="G31" s="3">
        <f t="shared" si="5"/>
        <v>4.8</v>
      </c>
      <c r="H31" s="3">
        <f t="shared" si="7"/>
        <v>10.8</v>
      </c>
      <c r="I31" s="3">
        <f>F31*$N$3</f>
        <v>5.4</v>
      </c>
      <c r="J31" s="3">
        <f>G31*$N$3</f>
        <v>4.32</v>
      </c>
      <c r="K31" s="3">
        <f>H31*$N$3</f>
        <v>9.7200000000000006</v>
      </c>
    </row>
    <row r="32" spans="1:11" x14ac:dyDescent="0.3">
      <c r="A32" s="97"/>
      <c r="B32" s="3" t="s">
        <v>75</v>
      </c>
      <c r="C32" s="3">
        <v>4</v>
      </c>
      <c r="D32" s="3">
        <v>3</v>
      </c>
      <c r="E32" s="3">
        <f t="shared" si="6"/>
        <v>7</v>
      </c>
      <c r="F32" s="3">
        <f t="shared" si="4"/>
        <v>4.8</v>
      </c>
      <c r="G32" s="3">
        <f t="shared" si="5"/>
        <v>3.6</v>
      </c>
      <c r="H32" s="3">
        <f t="shared" si="7"/>
        <v>8.4</v>
      </c>
      <c r="I32" s="3">
        <f>F32*$N$3</f>
        <v>4.32</v>
      </c>
      <c r="J32" s="3">
        <f>G32*$N$3</f>
        <v>3.24</v>
      </c>
      <c r="K32" s="3">
        <f>H32*$N$3</f>
        <v>7.5600000000000005</v>
      </c>
    </row>
    <row r="33" spans="1:11" x14ac:dyDescent="0.3">
      <c r="A33" s="97" t="s">
        <v>79</v>
      </c>
      <c r="B33" s="3" t="s">
        <v>74</v>
      </c>
      <c r="C33" s="3">
        <v>5</v>
      </c>
      <c r="D33" s="3">
        <v>5</v>
      </c>
      <c r="E33" s="3">
        <f t="shared" si="6"/>
        <v>10</v>
      </c>
      <c r="F33" s="3">
        <f t="shared" si="4"/>
        <v>6</v>
      </c>
      <c r="G33" s="3">
        <f t="shared" si="5"/>
        <v>6</v>
      </c>
      <c r="H33" s="3">
        <f t="shared" si="7"/>
        <v>12</v>
      </c>
      <c r="I33" s="3">
        <f>F33*$N$3</f>
        <v>5.4</v>
      </c>
      <c r="J33" s="3">
        <f>G33*$N$3</f>
        <v>5.4</v>
      </c>
      <c r="K33" s="3">
        <f>H33*$N$3</f>
        <v>10.8</v>
      </c>
    </row>
    <row r="34" spans="1:11" x14ac:dyDescent="0.3">
      <c r="A34" s="97"/>
      <c r="B34" s="3" t="s">
        <v>75</v>
      </c>
      <c r="C34" s="3">
        <v>4</v>
      </c>
      <c r="D34" s="3">
        <v>4</v>
      </c>
      <c r="E34" s="3">
        <f t="shared" si="6"/>
        <v>8</v>
      </c>
      <c r="F34" s="3">
        <f t="shared" si="4"/>
        <v>4.8</v>
      </c>
      <c r="G34" s="3">
        <f t="shared" si="5"/>
        <v>4.8</v>
      </c>
      <c r="H34" s="3">
        <f t="shared" si="7"/>
        <v>9.6</v>
      </c>
      <c r="I34" s="3">
        <f>F34*$N$3</f>
        <v>4.32</v>
      </c>
      <c r="J34" s="3">
        <f>G34*$N$3</f>
        <v>4.32</v>
      </c>
      <c r="K34" s="3">
        <f>H34*$N$3</f>
        <v>8.64</v>
      </c>
    </row>
    <row r="35" spans="1:11" x14ac:dyDescent="0.3">
      <c r="A35" s="97" t="s">
        <v>80</v>
      </c>
      <c r="B35" s="3" t="s">
        <v>74</v>
      </c>
      <c r="C35" s="3">
        <v>5</v>
      </c>
      <c r="D35" s="3">
        <v>7</v>
      </c>
      <c r="E35" s="3">
        <f t="shared" si="6"/>
        <v>12</v>
      </c>
      <c r="F35" s="3">
        <f t="shared" si="4"/>
        <v>6</v>
      </c>
      <c r="G35" s="3">
        <f t="shared" si="5"/>
        <v>8.4</v>
      </c>
      <c r="H35" s="3">
        <f t="shared" si="7"/>
        <v>14.4</v>
      </c>
      <c r="I35" s="3">
        <f>F35*$N$3</f>
        <v>5.4</v>
      </c>
      <c r="J35" s="3">
        <f>G35*$N$3</f>
        <v>7.5600000000000005</v>
      </c>
      <c r="K35" s="3">
        <f>H35*$N$3</f>
        <v>12.96</v>
      </c>
    </row>
    <row r="36" spans="1:11" x14ac:dyDescent="0.3">
      <c r="A36" s="97"/>
      <c r="B36" s="3" t="s">
        <v>75</v>
      </c>
      <c r="C36" s="3">
        <v>4</v>
      </c>
      <c r="D36" s="3">
        <v>4</v>
      </c>
      <c r="E36" s="3">
        <f t="shared" si="6"/>
        <v>8</v>
      </c>
      <c r="F36" s="3">
        <f t="shared" si="4"/>
        <v>4.8</v>
      </c>
      <c r="G36" s="3">
        <f t="shared" si="5"/>
        <v>4.8</v>
      </c>
      <c r="H36" s="3">
        <f t="shared" si="7"/>
        <v>9.6</v>
      </c>
      <c r="I36" s="3">
        <f>F36*$N$3</f>
        <v>4.32</v>
      </c>
      <c r="J36" s="3">
        <f>G36*$N$3</f>
        <v>4.32</v>
      </c>
      <c r="K36" s="3">
        <f>H36*$N$3</f>
        <v>8.64</v>
      </c>
    </row>
    <row r="37" spans="1:11" x14ac:dyDescent="0.3">
      <c r="A37" s="97" t="s">
        <v>81</v>
      </c>
      <c r="B37" s="3" t="s">
        <v>74</v>
      </c>
      <c r="C37" s="3">
        <v>5</v>
      </c>
      <c r="D37" s="3">
        <v>29</v>
      </c>
      <c r="E37" s="3">
        <f t="shared" si="6"/>
        <v>34</v>
      </c>
      <c r="F37" s="3">
        <f t="shared" si="4"/>
        <v>6</v>
      </c>
      <c r="G37" s="3">
        <f t="shared" si="5"/>
        <v>34.799999999999997</v>
      </c>
      <c r="H37" s="3">
        <f t="shared" si="7"/>
        <v>40.799999999999997</v>
      </c>
      <c r="I37" s="3">
        <f>F37*$N$3</f>
        <v>5.4</v>
      </c>
      <c r="J37" s="3">
        <f>G37*$N$3</f>
        <v>31.319999999999997</v>
      </c>
      <c r="K37" s="3">
        <f>H37*$N$3</f>
        <v>36.72</v>
      </c>
    </row>
    <row r="38" spans="1:11" x14ac:dyDescent="0.3">
      <c r="A38" s="97"/>
      <c r="B38" s="3" t="s">
        <v>75</v>
      </c>
      <c r="C38" s="3">
        <v>4</v>
      </c>
      <c r="D38" s="3">
        <v>18</v>
      </c>
      <c r="E38" s="3">
        <f t="shared" si="6"/>
        <v>22</v>
      </c>
      <c r="F38" s="3">
        <f t="shared" si="4"/>
        <v>4.8</v>
      </c>
      <c r="G38" s="3">
        <f t="shared" si="5"/>
        <v>21.6</v>
      </c>
      <c r="H38" s="3">
        <f t="shared" si="7"/>
        <v>26.400000000000002</v>
      </c>
      <c r="I38" s="3">
        <f>F38*$N$3</f>
        <v>4.32</v>
      </c>
      <c r="J38" s="3">
        <f>G38*$N$3</f>
        <v>19.440000000000001</v>
      </c>
      <c r="K38" s="3">
        <f>H38*$N$3</f>
        <v>23.76</v>
      </c>
    </row>
    <row r="39" spans="1:11" x14ac:dyDescent="0.3">
      <c r="A39" s="97" t="s">
        <v>82</v>
      </c>
      <c r="B39" s="3" t="s">
        <v>74</v>
      </c>
      <c r="C39" s="3">
        <v>5</v>
      </c>
      <c r="D39" s="3">
        <v>9</v>
      </c>
      <c r="E39" s="3">
        <f>C39+D39</f>
        <v>14</v>
      </c>
      <c r="F39" s="3">
        <f t="shared" si="4"/>
        <v>6</v>
      </c>
      <c r="G39" s="3">
        <f t="shared" si="5"/>
        <v>10.8</v>
      </c>
      <c r="H39" s="3">
        <f t="shared" si="7"/>
        <v>16.8</v>
      </c>
      <c r="I39" s="3">
        <f>F39*$N$3</f>
        <v>5.4</v>
      </c>
      <c r="J39" s="3">
        <f>G39*$N$3</f>
        <v>9.7200000000000006</v>
      </c>
      <c r="K39" s="3">
        <f>H39*$N$3</f>
        <v>15.120000000000001</v>
      </c>
    </row>
    <row r="40" spans="1:11" x14ac:dyDescent="0.3">
      <c r="A40" s="97"/>
      <c r="B40" s="3" t="s">
        <v>75</v>
      </c>
      <c r="C40" s="3">
        <v>4</v>
      </c>
      <c r="D40" s="3">
        <v>7</v>
      </c>
      <c r="E40" s="3">
        <f>C40+D40</f>
        <v>11</v>
      </c>
      <c r="F40" s="3">
        <f t="shared" si="4"/>
        <v>4.8</v>
      </c>
      <c r="G40" s="3">
        <f t="shared" si="5"/>
        <v>8.4</v>
      </c>
      <c r="H40" s="3">
        <f t="shared" si="7"/>
        <v>13.2</v>
      </c>
      <c r="I40" s="3">
        <f>F40*$N$3</f>
        <v>4.32</v>
      </c>
      <c r="J40" s="3">
        <f>G40*$N$3</f>
        <v>7.5600000000000005</v>
      </c>
      <c r="K40" s="3">
        <f>H40*$N$3</f>
        <v>11.879999999999999</v>
      </c>
    </row>
    <row r="42" spans="1:11" ht="24" customHeight="1" x14ac:dyDescent="0.3">
      <c r="G42" s="98" t="s">
        <v>160</v>
      </c>
      <c r="H42" s="98"/>
      <c r="I42" s="99" t="s">
        <v>84</v>
      </c>
      <c r="J42" s="99"/>
      <c r="K42" s="99"/>
    </row>
    <row r="43" spans="1:11" ht="24" customHeight="1" x14ac:dyDescent="0.3">
      <c r="G43" s="98"/>
      <c r="H43" s="98"/>
      <c r="I43" s="99" t="s">
        <v>159</v>
      </c>
      <c r="J43" s="99"/>
      <c r="K43" s="99"/>
    </row>
    <row r="44" spans="1:11" ht="24" customHeight="1" x14ac:dyDescent="0.3">
      <c r="G44" s="98"/>
      <c r="H44" s="98"/>
      <c r="I44" s="48" t="s">
        <v>72</v>
      </c>
      <c r="J44" s="48" t="s">
        <v>73</v>
      </c>
      <c r="K44" s="48" t="s">
        <v>76</v>
      </c>
    </row>
    <row r="45" spans="1:11" x14ac:dyDescent="0.3">
      <c r="G45" s="96" t="s">
        <v>0</v>
      </c>
      <c r="H45" s="48" t="s">
        <v>74</v>
      </c>
      <c r="I45" s="48">
        <f t="shared" ref="I45:K60" si="8">AVERAGE(I25,I5)</f>
        <v>7.5600000000000005</v>
      </c>
      <c r="J45" s="48">
        <f t="shared" si="8"/>
        <v>3.24</v>
      </c>
      <c r="K45" s="48">
        <f t="shared" si="8"/>
        <v>10.8</v>
      </c>
    </row>
    <row r="46" spans="1:11" x14ac:dyDescent="0.3">
      <c r="G46" s="96"/>
      <c r="H46" s="48" t="s">
        <v>75</v>
      </c>
      <c r="I46" s="48">
        <f t="shared" si="8"/>
        <v>5.4</v>
      </c>
      <c r="J46" s="48">
        <f t="shared" si="8"/>
        <v>2.16</v>
      </c>
      <c r="K46" s="48">
        <f t="shared" si="8"/>
        <v>7.5600000000000005</v>
      </c>
    </row>
    <row r="47" spans="1:11" x14ac:dyDescent="0.3">
      <c r="G47" s="96" t="s">
        <v>71</v>
      </c>
      <c r="H47" s="48" t="s">
        <v>74</v>
      </c>
      <c r="I47" s="48">
        <f t="shared" si="8"/>
        <v>7.5600000000000005</v>
      </c>
      <c r="J47" s="48">
        <f t="shared" si="8"/>
        <v>4.32</v>
      </c>
      <c r="K47" s="48">
        <f t="shared" si="8"/>
        <v>11.88</v>
      </c>
    </row>
    <row r="48" spans="1:11" x14ac:dyDescent="0.3">
      <c r="G48" s="96"/>
      <c r="H48" s="48" t="s">
        <v>75</v>
      </c>
      <c r="I48" s="48">
        <f t="shared" si="8"/>
        <v>5.4</v>
      </c>
      <c r="J48" s="48">
        <f t="shared" si="8"/>
        <v>3.24</v>
      </c>
      <c r="K48" s="48">
        <f t="shared" si="8"/>
        <v>8.64</v>
      </c>
    </row>
    <row r="49" spans="7:11" x14ac:dyDescent="0.3">
      <c r="G49" s="96" t="s">
        <v>83</v>
      </c>
      <c r="H49" s="48" t="s">
        <v>74</v>
      </c>
      <c r="I49" s="48">
        <f t="shared" si="8"/>
        <v>7.5600000000000005</v>
      </c>
      <c r="J49" s="48">
        <f t="shared" si="8"/>
        <v>3.24</v>
      </c>
      <c r="K49" s="48">
        <f t="shared" si="8"/>
        <v>10.8</v>
      </c>
    </row>
    <row r="50" spans="7:11" x14ac:dyDescent="0.3">
      <c r="G50" s="96"/>
      <c r="H50" s="48" t="s">
        <v>75</v>
      </c>
      <c r="I50" s="48">
        <f t="shared" si="8"/>
        <v>5.4</v>
      </c>
      <c r="J50" s="48">
        <f t="shared" si="8"/>
        <v>2.16</v>
      </c>
      <c r="K50" s="48">
        <f t="shared" si="8"/>
        <v>7.5600000000000005</v>
      </c>
    </row>
    <row r="51" spans="7:11" x14ac:dyDescent="0.3">
      <c r="G51" s="96" t="s">
        <v>78</v>
      </c>
      <c r="H51" s="48" t="s">
        <v>74</v>
      </c>
      <c r="I51" s="48">
        <f t="shared" si="8"/>
        <v>7.5600000000000005</v>
      </c>
      <c r="J51" s="48">
        <f t="shared" si="8"/>
        <v>3.24</v>
      </c>
      <c r="K51" s="48">
        <f t="shared" si="8"/>
        <v>10.8</v>
      </c>
    </row>
    <row r="52" spans="7:11" x14ac:dyDescent="0.3">
      <c r="G52" s="96"/>
      <c r="H52" s="48" t="s">
        <v>75</v>
      </c>
      <c r="I52" s="48">
        <f t="shared" si="8"/>
        <v>5.4</v>
      </c>
      <c r="J52" s="48">
        <f t="shared" si="8"/>
        <v>2.16</v>
      </c>
      <c r="K52" s="48">
        <f t="shared" si="8"/>
        <v>7.5600000000000005</v>
      </c>
    </row>
    <row r="53" spans="7:11" x14ac:dyDescent="0.3">
      <c r="G53" s="96" t="s">
        <v>79</v>
      </c>
      <c r="H53" s="48" t="s">
        <v>74</v>
      </c>
      <c r="I53" s="48">
        <f t="shared" si="8"/>
        <v>7.5600000000000005</v>
      </c>
      <c r="J53" s="48">
        <f t="shared" si="8"/>
        <v>4.32</v>
      </c>
      <c r="K53" s="48">
        <f t="shared" si="8"/>
        <v>11.88</v>
      </c>
    </row>
    <row r="54" spans="7:11" x14ac:dyDescent="0.3">
      <c r="G54" s="96"/>
      <c r="H54" s="48" t="s">
        <v>75</v>
      </c>
      <c r="I54" s="48">
        <f t="shared" si="8"/>
        <v>5.4</v>
      </c>
      <c r="J54" s="48">
        <f t="shared" si="8"/>
        <v>3.24</v>
      </c>
      <c r="K54" s="48">
        <f t="shared" si="8"/>
        <v>8.64</v>
      </c>
    </row>
    <row r="55" spans="7:11" x14ac:dyDescent="0.3">
      <c r="G55" s="96" t="s">
        <v>80</v>
      </c>
      <c r="H55" s="48" t="s">
        <v>74</v>
      </c>
      <c r="I55" s="48">
        <f t="shared" si="8"/>
        <v>7.5600000000000005</v>
      </c>
      <c r="J55" s="48">
        <f t="shared" si="8"/>
        <v>6.48</v>
      </c>
      <c r="K55" s="48">
        <f t="shared" si="8"/>
        <v>14.040000000000001</v>
      </c>
    </row>
    <row r="56" spans="7:11" x14ac:dyDescent="0.3">
      <c r="G56" s="96"/>
      <c r="H56" s="48" t="s">
        <v>75</v>
      </c>
      <c r="I56" s="48">
        <f t="shared" si="8"/>
        <v>5.4</v>
      </c>
      <c r="J56" s="48">
        <f t="shared" si="8"/>
        <v>3.24</v>
      </c>
      <c r="K56" s="48">
        <f t="shared" si="8"/>
        <v>8.64</v>
      </c>
    </row>
    <row r="57" spans="7:11" x14ac:dyDescent="0.3">
      <c r="G57" s="96" t="s">
        <v>81</v>
      </c>
      <c r="H57" s="48" t="s">
        <v>74</v>
      </c>
      <c r="I57" s="48">
        <f t="shared" si="8"/>
        <v>7.5600000000000005</v>
      </c>
      <c r="J57" s="48">
        <f t="shared" si="8"/>
        <v>30.24</v>
      </c>
      <c r="K57" s="48">
        <f t="shared" si="8"/>
        <v>37.799999999999997</v>
      </c>
    </row>
    <row r="58" spans="7:11" x14ac:dyDescent="0.3">
      <c r="G58" s="96"/>
      <c r="H58" s="48" t="s">
        <v>75</v>
      </c>
      <c r="I58" s="48">
        <f t="shared" si="8"/>
        <v>5.4</v>
      </c>
      <c r="J58" s="48">
        <f t="shared" si="8"/>
        <v>18.36</v>
      </c>
      <c r="K58" s="48">
        <f t="shared" si="8"/>
        <v>23.759999999999998</v>
      </c>
    </row>
    <row r="59" spans="7:11" x14ac:dyDescent="0.3">
      <c r="G59" s="96" t="s">
        <v>82</v>
      </c>
      <c r="H59" s="48" t="s">
        <v>74</v>
      </c>
      <c r="I59" s="48">
        <f t="shared" si="8"/>
        <v>7.5600000000000005</v>
      </c>
      <c r="J59" s="48">
        <f t="shared" si="8"/>
        <v>8.64</v>
      </c>
      <c r="K59" s="48">
        <f t="shared" si="8"/>
        <v>16.200000000000003</v>
      </c>
    </row>
    <row r="60" spans="7:11" x14ac:dyDescent="0.3">
      <c r="G60" s="96"/>
      <c r="H60" s="48" t="s">
        <v>75</v>
      </c>
      <c r="I60" s="48">
        <f t="shared" si="8"/>
        <v>5.4</v>
      </c>
      <c r="J60" s="48">
        <f t="shared" si="8"/>
        <v>6.48</v>
      </c>
      <c r="K60" s="48">
        <f t="shared" si="8"/>
        <v>11.879999999999999</v>
      </c>
    </row>
  </sheetData>
  <mergeCells count="41">
    <mergeCell ref="I2:K2"/>
    <mergeCell ref="I3:K3"/>
    <mergeCell ref="F2:H2"/>
    <mergeCell ref="F3:H3"/>
    <mergeCell ref="A15:A16"/>
    <mergeCell ref="A17:A18"/>
    <mergeCell ref="C2:E2"/>
    <mergeCell ref="A19:A20"/>
    <mergeCell ref="A2:B4"/>
    <mergeCell ref="A5:A6"/>
    <mergeCell ref="A7:A8"/>
    <mergeCell ref="C3:E3"/>
    <mergeCell ref="A9:A10"/>
    <mergeCell ref="A11:A12"/>
    <mergeCell ref="A13:A14"/>
    <mergeCell ref="A22:B24"/>
    <mergeCell ref="C22:E22"/>
    <mergeCell ref="F22:H22"/>
    <mergeCell ref="I22:K22"/>
    <mergeCell ref="C23:E23"/>
    <mergeCell ref="F23:H23"/>
    <mergeCell ref="I23:K23"/>
    <mergeCell ref="A25:A26"/>
    <mergeCell ref="A27:A28"/>
    <mergeCell ref="A29:A30"/>
    <mergeCell ref="A31:A32"/>
    <mergeCell ref="A33:A34"/>
    <mergeCell ref="A35:A36"/>
    <mergeCell ref="A37:A38"/>
    <mergeCell ref="A39:A40"/>
    <mergeCell ref="G42:H44"/>
    <mergeCell ref="I42:K42"/>
    <mergeCell ref="I43:K43"/>
    <mergeCell ref="G55:G56"/>
    <mergeCell ref="G57:G58"/>
    <mergeCell ref="G59:G60"/>
    <mergeCell ref="G45:G46"/>
    <mergeCell ref="G47:G48"/>
    <mergeCell ref="G49:G50"/>
    <mergeCell ref="G51:G52"/>
    <mergeCell ref="G53:G5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FEE8F-9DC8-41D9-B31D-E47842B35AE7}">
  <dimension ref="A1:H17"/>
  <sheetViews>
    <sheetView workbookViewId="0">
      <selection activeCell="A17" sqref="A17"/>
    </sheetView>
  </sheetViews>
  <sheetFormatPr defaultColWidth="9.109375" defaultRowHeight="14.4" x14ac:dyDescent="0.3"/>
  <cols>
    <col min="7" max="7" width="9.109375" customWidth="1"/>
    <col min="8" max="8" width="81.109375" bestFit="1" customWidth="1"/>
  </cols>
  <sheetData>
    <row r="1" spans="1:8" ht="15.6" x14ac:dyDescent="0.3">
      <c r="A1" s="12" t="s">
        <v>68</v>
      </c>
    </row>
    <row r="3" spans="1:8" x14ac:dyDescent="0.3">
      <c r="A3" s="11" t="s">
        <v>41</v>
      </c>
      <c r="B3" s="11" t="s">
        <v>42</v>
      </c>
      <c r="C3" s="11" t="s">
        <v>43</v>
      </c>
      <c r="D3" s="11" t="s">
        <v>44</v>
      </c>
      <c r="E3" s="11" t="s">
        <v>45</v>
      </c>
      <c r="F3" s="11" t="s">
        <v>46</v>
      </c>
      <c r="G3" s="11" t="s">
        <v>47</v>
      </c>
      <c r="H3" s="11" t="s">
        <v>48</v>
      </c>
    </row>
    <row r="4" spans="1:8" x14ac:dyDescent="0.3">
      <c r="A4" t="s">
        <v>49</v>
      </c>
      <c r="B4">
        <v>97.729014949854928</v>
      </c>
      <c r="C4" s="6">
        <v>92.434497059311354</v>
      </c>
      <c r="D4">
        <v>11.493685279116249</v>
      </c>
      <c r="E4">
        <v>334.63104862521709</v>
      </c>
      <c r="F4">
        <v>60.271974065527893</v>
      </c>
      <c r="G4" s="6">
        <v>122.35136449155711</v>
      </c>
      <c r="H4" t="s">
        <v>50</v>
      </c>
    </row>
    <row r="5" spans="1:8" x14ac:dyDescent="0.3">
      <c r="A5" t="s">
        <v>51</v>
      </c>
      <c r="B5">
        <v>100.3841786157861</v>
      </c>
      <c r="C5" s="6">
        <v>78.95748043465457</v>
      </c>
      <c r="D5">
        <v>13.424781775168791</v>
      </c>
      <c r="E5">
        <v>873.50612485520219</v>
      </c>
      <c r="F5">
        <v>56.798492990037758</v>
      </c>
      <c r="G5" s="6">
        <v>123.11839914543479</v>
      </c>
      <c r="H5" t="s">
        <v>26</v>
      </c>
    </row>
    <row r="6" spans="1:8" x14ac:dyDescent="0.3">
      <c r="A6" t="s">
        <v>52</v>
      </c>
      <c r="B6">
        <v>76.001618169486306</v>
      </c>
      <c r="C6" s="6">
        <v>69.602574629108361</v>
      </c>
      <c r="D6">
        <v>14.13629357433039</v>
      </c>
      <c r="E6">
        <v>195.8803862027203</v>
      </c>
      <c r="F6">
        <v>57.199123407314218</v>
      </c>
      <c r="G6" s="6">
        <v>90.613079268885954</v>
      </c>
      <c r="H6" t="s">
        <v>34</v>
      </c>
    </row>
    <row r="7" spans="1:8" x14ac:dyDescent="0.3">
      <c r="A7" t="s">
        <v>53</v>
      </c>
      <c r="B7">
        <v>62.260854748494772</v>
      </c>
      <c r="C7" s="6">
        <v>52.52141938954157</v>
      </c>
      <c r="D7">
        <v>12.22660942223397</v>
      </c>
      <c r="E7">
        <v>516.35279202416677</v>
      </c>
      <c r="F7">
        <v>40.636451896608193</v>
      </c>
      <c r="G7" s="6">
        <v>70.372057291953411</v>
      </c>
      <c r="H7" t="s">
        <v>25</v>
      </c>
    </row>
    <row r="8" spans="1:8" x14ac:dyDescent="0.3">
      <c r="A8" t="s">
        <v>54</v>
      </c>
      <c r="B8">
        <v>99.519901834630701</v>
      </c>
      <c r="C8" s="6">
        <v>96.755933414730663</v>
      </c>
      <c r="D8">
        <v>7.9126446457588537</v>
      </c>
      <c r="E8">
        <v>798.60871356059022</v>
      </c>
      <c r="F8">
        <v>61.185897772311002</v>
      </c>
      <c r="G8" s="6">
        <v>115.43861742226559</v>
      </c>
      <c r="H8" t="s">
        <v>28</v>
      </c>
    </row>
    <row r="9" spans="1:8" x14ac:dyDescent="0.3">
      <c r="A9" t="s">
        <v>55</v>
      </c>
      <c r="B9">
        <v>75.849280212655799</v>
      </c>
      <c r="C9" s="6">
        <v>76.105586696328942</v>
      </c>
      <c r="D9">
        <v>16.278945280300309</v>
      </c>
      <c r="E9">
        <v>296.19889450221359</v>
      </c>
      <c r="F9">
        <v>47.390015907534789</v>
      </c>
      <c r="G9" s="6">
        <v>89.015145871144</v>
      </c>
      <c r="H9" t="s">
        <v>33</v>
      </c>
    </row>
    <row r="10" spans="1:8" x14ac:dyDescent="0.3">
      <c r="A10" t="s">
        <v>56</v>
      </c>
      <c r="B10">
        <v>55.479397119734948</v>
      </c>
      <c r="C10" s="6">
        <v>47.073199913522963</v>
      </c>
      <c r="D10">
        <v>10.793460682823991</v>
      </c>
      <c r="E10">
        <v>321.84882319131623</v>
      </c>
      <c r="F10">
        <v>35.684073826569943</v>
      </c>
      <c r="G10" s="6">
        <v>63.826179422957473</v>
      </c>
      <c r="H10" t="s">
        <v>35</v>
      </c>
    </row>
    <row r="11" spans="1:8" x14ac:dyDescent="0.3">
      <c r="A11" t="s">
        <v>57</v>
      </c>
      <c r="B11">
        <v>57.588022404158643</v>
      </c>
      <c r="C11" s="6">
        <v>54.759804014648068</v>
      </c>
      <c r="D11">
        <v>8.3703968376301976</v>
      </c>
      <c r="E11">
        <v>225.0204500054794</v>
      </c>
      <c r="F11">
        <v>42.624544518749083</v>
      </c>
      <c r="G11" s="6">
        <v>68.418270805212245</v>
      </c>
      <c r="H11" t="s">
        <v>58</v>
      </c>
    </row>
    <row r="12" spans="1:8" x14ac:dyDescent="0.3">
      <c r="A12" t="s">
        <v>59</v>
      </c>
      <c r="B12">
        <v>106.276176740677</v>
      </c>
      <c r="C12" s="6">
        <v>73.737721899794295</v>
      </c>
      <c r="D12">
        <v>17.342137004029741</v>
      </c>
      <c r="E12">
        <v>507.425470472678</v>
      </c>
      <c r="F12">
        <v>52.81538812367409</v>
      </c>
      <c r="G12" s="6">
        <v>108.09822707977369</v>
      </c>
      <c r="H12" t="s">
        <v>36</v>
      </c>
    </row>
    <row r="13" spans="1:8" x14ac:dyDescent="0.3">
      <c r="A13" t="s">
        <v>60</v>
      </c>
      <c r="B13">
        <v>66.676381383626406</v>
      </c>
      <c r="C13" s="6">
        <v>56.088058457034187</v>
      </c>
      <c r="D13">
        <v>10.90198558857198</v>
      </c>
      <c r="E13">
        <v>414.50734509230062</v>
      </c>
      <c r="F13">
        <v>42.225680278365139</v>
      </c>
      <c r="G13" s="6">
        <v>74.634644027999144</v>
      </c>
      <c r="H13" t="s">
        <v>27</v>
      </c>
    </row>
    <row r="14" spans="1:8" x14ac:dyDescent="0.3">
      <c r="A14" t="s">
        <v>61</v>
      </c>
      <c r="B14">
        <v>94.278120343428995</v>
      </c>
      <c r="C14" s="6">
        <v>68.711246428467547</v>
      </c>
      <c r="D14">
        <v>15.949140019488469</v>
      </c>
      <c r="E14">
        <v>359.60101045493587</v>
      </c>
      <c r="F14">
        <v>50.533746064063777</v>
      </c>
      <c r="G14" s="6">
        <v>107.66683310989571</v>
      </c>
      <c r="H14" t="s">
        <v>37</v>
      </c>
    </row>
    <row r="17" spans="1:1" x14ac:dyDescent="0.3">
      <c r="A17" t="s">
        <v>184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9A0F9-5FC8-435D-9B36-97B354B40137}">
  <dimension ref="B2:W34"/>
  <sheetViews>
    <sheetView workbookViewId="0">
      <selection activeCell="W8" sqref="W8"/>
    </sheetView>
  </sheetViews>
  <sheetFormatPr defaultRowHeight="14.4" x14ac:dyDescent="0.3"/>
  <cols>
    <col min="2" max="2" width="12.88671875" bestFit="1" customWidth="1"/>
    <col min="3" max="3" width="20.6640625" customWidth="1"/>
    <col min="6" max="6" width="15.88671875" customWidth="1"/>
    <col min="7" max="7" width="17" customWidth="1"/>
  </cols>
  <sheetData>
    <row r="2" spans="2:23" x14ac:dyDescent="0.3">
      <c r="H2" s="49" t="s">
        <v>70</v>
      </c>
      <c r="I2" s="49" t="s">
        <v>24</v>
      </c>
      <c r="P2" s="118" t="s">
        <v>124</v>
      </c>
      <c r="Q2" s="119"/>
      <c r="R2" s="78"/>
    </row>
    <row r="3" spans="2:23" ht="28.8" x14ac:dyDescent="0.3">
      <c r="H3" s="50" t="s">
        <v>101</v>
      </c>
      <c r="I3" s="50" t="s">
        <v>101</v>
      </c>
      <c r="P3" s="71" t="s">
        <v>125</v>
      </c>
      <c r="Q3" s="71" t="s">
        <v>126</v>
      </c>
      <c r="R3" s="79" t="s">
        <v>135</v>
      </c>
      <c r="S3" t="s">
        <v>136</v>
      </c>
      <c r="T3" t="s">
        <v>137</v>
      </c>
      <c r="U3" t="s">
        <v>138</v>
      </c>
    </row>
    <row r="4" spans="2:23" x14ac:dyDescent="0.3">
      <c r="B4" s="107" t="s">
        <v>102</v>
      </c>
      <c r="C4" s="108"/>
      <c r="D4" s="108"/>
      <c r="E4" s="108"/>
      <c r="F4" s="108"/>
      <c r="G4" s="51"/>
      <c r="H4" s="55"/>
      <c r="I4" s="55"/>
      <c r="N4" s="65" t="s">
        <v>102</v>
      </c>
      <c r="O4" s="66"/>
      <c r="P4" s="72" t="s">
        <v>118</v>
      </c>
      <c r="Q4" s="72" t="s">
        <v>118</v>
      </c>
      <c r="R4" s="72" t="s">
        <v>118</v>
      </c>
      <c r="S4" t="s">
        <v>128</v>
      </c>
      <c r="T4" s="72" t="s">
        <v>118</v>
      </c>
      <c r="U4" s="74" t="s">
        <v>131</v>
      </c>
      <c r="V4" s="74" t="s">
        <v>132</v>
      </c>
      <c r="W4" s="74" t="s">
        <v>130</v>
      </c>
    </row>
    <row r="5" spans="2:23" x14ac:dyDescent="0.3">
      <c r="B5" s="109" t="s">
        <v>103</v>
      </c>
      <c r="C5" s="109" t="s">
        <v>103</v>
      </c>
      <c r="D5" s="109" t="s">
        <v>103</v>
      </c>
      <c r="E5" s="109" t="s">
        <v>103</v>
      </c>
      <c r="F5" s="109" t="s">
        <v>103</v>
      </c>
      <c r="G5" s="52"/>
      <c r="H5" s="56"/>
      <c r="I5" s="56"/>
      <c r="N5" s="113" t="s">
        <v>70</v>
      </c>
      <c r="O5" s="67" t="s">
        <v>120</v>
      </c>
      <c r="P5">
        <v>179.84387805414332</v>
      </c>
      <c r="Q5">
        <v>11</v>
      </c>
      <c r="R5" s="2">
        <v>5.2667882952991869</v>
      </c>
      <c r="S5" s="4">
        <f t="shared" ref="S5:S10" si="0">P5+Q5</f>
        <v>190.84387805414332</v>
      </c>
      <c r="T5" s="4">
        <f t="shared" ref="T5:T10" si="1">S5/T$14</f>
        <v>194.73865107565646</v>
      </c>
      <c r="U5" s="4">
        <f t="shared" ref="U5:U10" si="2">T5*$C$30/1000+R5*C$34/1000</f>
        <v>62.296626349533007</v>
      </c>
      <c r="V5" s="4">
        <f t="shared" ref="V5:V10" si="3">U5/1.1</f>
        <v>56.633296681393638</v>
      </c>
      <c r="W5" s="77">
        <f t="shared" ref="W5:W10" si="4">V5*0.85</f>
        <v>48.138302179184592</v>
      </c>
    </row>
    <row r="6" spans="2:23" x14ac:dyDescent="0.3">
      <c r="B6" s="110" t="s">
        <v>104</v>
      </c>
      <c r="C6" s="111"/>
      <c r="D6" s="111"/>
      <c r="E6" s="111"/>
      <c r="F6" s="112"/>
      <c r="G6" s="53" t="s">
        <v>105</v>
      </c>
      <c r="H6" s="57">
        <v>2377.0679331018223</v>
      </c>
      <c r="I6" s="57">
        <v>1682.858557540909</v>
      </c>
      <c r="N6" s="114"/>
      <c r="O6" s="68" t="s">
        <v>121</v>
      </c>
      <c r="P6">
        <v>133.63285074014715</v>
      </c>
      <c r="Q6">
        <v>11.000000000000004</v>
      </c>
      <c r="R6" s="2">
        <v>5.1259155818362245</v>
      </c>
      <c r="S6" s="4">
        <f t="shared" si="0"/>
        <v>144.63285074014715</v>
      </c>
      <c r="T6" s="4">
        <f t="shared" si="1"/>
        <v>147.58454157157874</v>
      </c>
      <c r="U6" s="4">
        <f t="shared" si="2"/>
        <v>47.62729299014147</v>
      </c>
      <c r="V6" s="4">
        <f t="shared" si="3"/>
        <v>43.297539081946788</v>
      </c>
      <c r="W6" s="4">
        <f t="shared" si="4"/>
        <v>36.802908219654768</v>
      </c>
    </row>
    <row r="7" spans="2:23" ht="15" thickBot="1" x14ac:dyDescent="0.35">
      <c r="B7" s="109" t="s">
        <v>117</v>
      </c>
      <c r="C7" s="109" t="s">
        <v>106</v>
      </c>
      <c r="D7" s="109" t="s">
        <v>106</v>
      </c>
      <c r="E7" s="109" t="s">
        <v>106</v>
      </c>
      <c r="F7" s="109" t="s">
        <v>106</v>
      </c>
      <c r="G7" s="52"/>
      <c r="H7" s="56"/>
      <c r="I7" s="56"/>
      <c r="N7" s="115"/>
      <c r="O7" s="69" t="s">
        <v>122</v>
      </c>
      <c r="P7">
        <v>69.581200395253731</v>
      </c>
      <c r="Q7">
        <v>11</v>
      </c>
      <c r="R7" s="2">
        <v>4.7913833738785154</v>
      </c>
      <c r="S7" s="4">
        <f t="shared" si="0"/>
        <v>80.581200395253731</v>
      </c>
      <c r="T7" s="4">
        <f t="shared" si="1"/>
        <v>82.225714689034419</v>
      </c>
      <c r="U7" s="4">
        <f t="shared" si="2"/>
        <v>27.243617868440204</v>
      </c>
      <c r="V7" s="4">
        <f t="shared" si="3"/>
        <v>24.766925334945636</v>
      </c>
      <c r="W7" s="4">
        <f t="shared" si="4"/>
        <v>21.05188653470379</v>
      </c>
    </row>
    <row r="8" spans="2:23" x14ac:dyDescent="0.3">
      <c r="B8" s="101" t="s">
        <v>69</v>
      </c>
      <c r="C8" s="102"/>
      <c r="D8" s="102"/>
      <c r="E8" s="102"/>
      <c r="F8" s="103"/>
      <c r="G8" s="53" t="s">
        <v>118</v>
      </c>
      <c r="H8" s="61">
        <v>96.839722360782176</v>
      </c>
      <c r="I8" s="61">
        <v>88.514528269267828</v>
      </c>
      <c r="N8" s="116" t="s">
        <v>24</v>
      </c>
      <c r="O8" s="70" t="s">
        <v>123</v>
      </c>
      <c r="P8">
        <v>123.39746220558699</v>
      </c>
      <c r="Q8">
        <v>16.5</v>
      </c>
      <c r="R8" s="2">
        <v>2.1990696714046782</v>
      </c>
      <c r="S8" s="4">
        <f t="shared" si="0"/>
        <v>139.89746220558698</v>
      </c>
      <c r="T8" s="4">
        <f t="shared" si="1"/>
        <v>142.75251245468058</v>
      </c>
      <c r="U8" s="4">
        <f t="shared" si="2"/>
        <v>45.058138360685092</v>
      </c>
      <c r="V8" s="4">
        <f t="shared" si="3"/>
        <v>40.96194396425917</v>
      </c>
      <c r="W8" s="77">
        <f t="shared" si="4"/>
        <v>34.817652369620291</v>
      </c>
    </row>
    <row r="9" spans="2:23" x14ac:dyDescent="0.3">
      <c r="B9" s="101" t="s">
        <v>107</v>
      </c>
      <c r="C9" s="102"/>
      <c r="D9" s="102"/>
      <c r="E9" s="102"/>
      <c r="F9" s="103"/>
      <c r="G9" s="53" t="s">
        <v>118</v>
      </c>
      <c r="H9" s="61">
        <v>48.63410511864155</v>
      </c>
      <c r="I9" s="61">
        <v>20.899146092495229</v>
      </c>
      <c r="N9" s="114"/>
      <c r="O9" s="68" t="s">
        <v>121</v>
      </c>
      <c r="P9">
        <v>111.92891503652041</v>
      </c>
      <c r="Q9">
        <v>16.500000000000004</v>
      </c>
      <c r="R9" s="2">
        <v>2.456088010255816</v>
      </c>
      <c r="S9" s="4">
        <f t="shared" si="0"/>
        <v>128.42891503652041</v>
      </c>
      <c r="T9" s="4">
        <f t="shared" si="1"/>
        <v>131.04991330257184</v>
      </c>
      <c r="U9" s="4">
        <f t="shared" si="2"/>
        <v>41.524401335550891</v>
      </c>
      <c r="V9" s="4">
        <f t="shared" si="3"/>
        <v>37.749455759591719</v>
      </c>
      <c r="W9" s="4">
        <f t="shared" si="4"/>
        <v>32.087037395652963</v>
      </c>
    </row>
    <row r="10" spans="2:23" x14ac:dyDescent="0.3">
      <c r="B10" s="101" t="s">
        <v>108</v>
      </c>
      <c r="C10" s="102"/>
      <c r="D10" s="102"/>
      <c r="E10" s="102"/>
      <c r="F10" s="103"/>
      <c r="G10" s="53" t="s">
        <v>118</v>
      </c>
      <c r="H10" s="61">
        <v>1.7292513020497582</v>
      </c>
      <c r="I10" s="61">
        <v>7.7426107989228346E-2</v>
      </c>
      <c r="N10" s="117"/>
      <c r="O10" s="68" t="s">
        <v>122</v>
      </c>
      <c r="P10">
        <v>56.302405988853621</v>
      </c>
      <c r="Q10">
        <v>16.5</v>
      </c>
      <c r="R10" s="2">
        <v>2.6120982917589441</v>
      </c>
      <c r="S10" s="4">
        <f t="shared" si="0"/>
        <v>72.802405988853621</v>
      </c>
      <c r="T10" s="4">
        <f t="shared" si="1"/>
        <v>74.288169376381248</v>
      </c>
      <c r="U10" s="4">
        <f t="shared" si="2"/>
        <v>23.98536048146196</v>
      </c>
      <c r="V10" s="4">
        <f t="shared" si="3"/>
        <v>21.804873164965418</v>
      </c>
      <c r="W10" s="4">
        <f t="shared" si="4"/>
        <v>18.534142190220606</v>
      </c>
    </row>
    <row r="11" spans="2:23" x14ac:dyDescent="0.3">
      <c r="B11" s="101" t="s">
        <v>109</v>
      </c>
      <c r="C11" s="102"/>
      <c r="D11" s="102"/>
      <c r="E11" s="102"/>
      <c r="F11" s="103"/>
      <c r="G11" s="53" t="s">
        <v>118</v>
      </c>
      <c r="H11" s="61">
        <v>34.548563180842756</v>
      </c>
      <c r="I11" s="61">
        <v>5.8381374984485923</v>
      </c>
    </row>
    <row r="12" spans="2:23" x14ac:dyDescent="0.3">
      <c r="B12" s="101" t="s">
        <v>110</v>
      </c>
      <c r="C12" s="102"/>
      <c r="D12" s="102"/>
      <c r="E12" s="102"/>
      <c r="F12" s="103"/>
      <c r="G12" s="53" t="s">
        <v>118</v>
      </c>
      <c r="H12" s="61">
        <v>7.1651883661885112</v>
      </c>
      <c r="I12" s="61">
        <v>27.039400954501179</v>
      </c>
    </row>
    <row r="13" spans="2:23" x14ac:dyDescent="0.3">
      <c r="B13" s="101" t="s">
        <v>111</v>
      </c>
      <c r="C13" s="102"/>
      <c r="D13" s="102"/>
      <c r="E13" s="102"/>
      <c r="F13" s="103"/>
      <c r="G13" s="53" t="s">
        <v>118</v>
      </c>
      <c r="H13" s="61">
        <v>13.095303863704578</v>
      </c>
      <c r="I13" s="61">
        <v>10.244046489558489</v>
      </c>
      <c r="T13" t="s">
        <v>129</v>
      </c>
    </row>
    <row r="14" spans="2:23" x14ac:dyDescent="0.3">
      <c r="B14" s="104" t="s">
        <v>112</v>
      </c>
      <c r="C14" s="105"/>
      <c r="D14" s="105"/>
      <c r="E14" s="105"/>
      <c r="F14" s="106"/>
      <c r="G14" s="54" t="s">
        <v>118</v>
      </c>
      <c r="H14" s="62">
        <v>202.01213419220934</v>
      </c>
      <c r="I14" s="62">
        <v>152.61268541226053</v>
      </c>
      <c r="T14">
        <v>0.98</v>
      </c>
    </row>
    <row r="16" spans="2:23" x14ac:dyDescent="0.3">
      <c r="G16" s="63" t="s">
        <v>119</v>
      </c>
      <c r="H16" s="61">
        <v>20.678863793754342</v>
      </c>
      <c r="I16" s="61">
        <v>18.901126823034645</v>
      </c>
    </row>
    <row r="17" spans="2:9" x14ac:dyDescent="0.3">
      <c r="G17" s="63" t="s">
        <v>119</v>
      </c>
      <c r="H17" s="61">
        <v>14.217207949332485</v>
      </c>
      <c r="I17" s="61">
        <v>6.1094473772191291</v>
      </c>
    </row>
    <row r="18" spans="2:9" x14ac:dyDescent="0.3">
      <c r="G18" s="63" t="s">
        <v>119</v>
      </c>
      <c r="H18" s="61">
        <v>0.72434878540260272</v>
      </c>
      <c r="I18" s="61">
        <v>3.2432248114527967E-2</v>
      </c>
    </row>
    <row r="19" spans="2:9" x14ac:dyDescent="0.3">
      <c r="G19" s="63" t="s">
        <v>119</v>
      </c>
      <c r="H19" s="61">
        <v>0.54386348159282671</v>
      </c>
      <c r="I19" s="61">
        <v>9.1903960500577753E-2</v>
      </c>
    </row>
    <row r="20" spans="2:9" x14ac:dyDescent="0.3">
      <c r="G20" s="63" t="s">
        <v>119</v>
      </c>
      <c r="H20" s="61">
        <v>1.2037516455196697</v>
      </c>
      <c r="I20" s="61">
        <v>4.5426193603561984</v>
      </c>
    </row>
    <row r="21" spans="2:9" x14ac:dyDescent="0.3">
      <c r="G21" s="63" t="s">
        <v>119</v>
      </c>
      <c r="H21" s="61">
        <v>4.7928812141158756</v>
      </c>
      <c r="I21" s="61">
        <v>3.7493210151784071</v>
      </c>
    </row>
    <row r="22" spans="2:9" x14ac:dyDescent="0.3">
      <c r="F22" t="s">
        <v>139</v>
      </c>
      <c r="G22" s="64" t="s">
        <v>119</v>
      </c>
      <c r="H22" s="62">
        <v>42.160916869717802</v>
      </c>
      <c r="I22" s="62">
        <v>33.426850784403484</v>
      </c>
    </row>
    <row r="23" spans="2:9" x14ac:dyDescent="0.3">
      <c r="F23" t="s">
        <v>111</v>
      </c>
      <c r="G23" s="64" t="s">
        <v>119</v>
      </c>
      <c r="H23" s="2">
        <f>AVERAGE(R5:R7)*C34/1000</f>
        <v>1.852458644623699</v>
      </c>
      <c r="I23" s="2">
        <f>AVERAGE(R8:R10)*C34/1000</f>
        <v>0.88660522875717152</v>
      </c>
    </row>
    <row r="24" spans="2:9" x14ac:dyDescent="0.3">
      <c r="F24" t="s">
        <v>127</v>
      </c>
      <c r="G24" s="64" t="s">
        <v>119</v>
      </c>
      <c r="H24" s="2">
        <f>H22+H23</f>
        <v>44.013375514341504</v>
      </c>
      <c r="I24" s="2">
        <f>I22+I23</f>
        <v>34.313456013160653</v>
      </c>
    </row>
    <row r="25" spans="2:9" x14ac:dyDescent="0.3">
      <c r="F25" t="s">
        <v>133</v>
      </c>
      <c r="H25" s="4">
        <f>H24/1.1</f>
        <v>40.012159558492272</v>
      </c>
      <c r="I25" s="4">
        <f>I24/1.1</f>
        <v>31.194050921055137</v>
      </c>
    </row>
    <row r="26" spans="2:9" x14ac:dyDescent="0.3">
      <c r="F26" t="s">
        <v>134</v>
      </c>
      <c r="H26" s="77">
        <f>H25*0.85</f>
        <v>34.010335624718429</v>
      </c>
      <c r="I26" s="77">
        <f>I25*0.85</f>
        <v>26.514943282896866</v>
      </c>
    </row>
    <row r="27" spans="2:9" ht="15" thickBot="1" x14ac:dyDescent="0.35"/>
    <row r="28" spans="2:9" ht="44.4" thickBot="1" x14ac:dyDescent="0.35">
      <c r="B28" s="58"/>
      <c r="C28" s="76" t="s">
        <v>113</v>
      </c>
      <c r="D28" s="75"/>
      <c r="E28" s="75"/>
      <c r="F28" s="75"/>
    </row>
    <row r="29" spans="2:9" ht="15" thickBot="1" x14ac:dyDescent="0.35">
      <c r="B29" s="59" t="s">
        <v>114</v>
      </c>
      <c r="C29" s="60">
        <v>237</v>
      </c>
    </row>
    <row r="30" spans="2:9" ht="15" thickBot="1" x14ac:dyDescent="0.35">
      <c r="B30" s="59" t="s">
        <v>107</v>
      </c>
      <c r="C30" s="60">
        <v>310</v>
      </c>
    </row>
    <row r="31" spans="2:9" ht="15" thickBot="1" x14ac:dyDescent="0.35">
      <c r="B31" s="59" t="s">
        <v>115</v>
      </c>
      <c r="C31" s="60">
        <v>448</v>
      </c>
    </row>
    <row r="32" spans="2:9" ht="15" thickBot="1" x14ac:dyDescent="0.35">
      <c r="B32" s="59" t="s">
        <v>116</v>
      </c>
      <c r="C32" s="60">
        <v>17</v>
      </c>
    </row>
    <row r="33" spans="2:3" ht="15" thickBot="1" x14ac:dyDescent="0.35">
      <c r="B33" s="59" t="s">
        <v>110</v>
      </c>
      <c r="C33" s="60">
        <v>168</v>
      </c>
    </row>
    <row r="34" spans="2:3" ht="15" thickBot="1" x14ac:dyDescent="0.35">
      <c r="B34" s="59" t="s">
        <v>111</v>
      </c>
      <c r="C34" s="60">
        <v>366</v>
      </c>
    </row>
  </sheetData>
  <mergeCells count="14">
    <mergeCell ref="N5:N7"/>
    <mergeCell ref="N8:N10"/>
    <mergeCell ref="P2:Q2"/>
    <mergeCell ref="B10:F10"/>
    <mergeCell ref="B11:F11"/>
    <mergeCell ref="B12:F12"/>
    <mergeCell ref="B13:F13"/>
    <mergeCell ref="B14:F14"/>
    <mergeCell ref="B4:F4"/>
    <mergeCell ref="B5:F5"/>
    <mergeCell ref="B6:F6"/>
    <mergeCell ref="B7:F7"/>
    <mergeCell ref="B8:F8"/>
    <mergeCell ref="B9:F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29373-3C15-4119-82EB-306DD2CC435A}">
  <dimension ref="A4:L69"/>
  <sheetViews>
    <sheetView zoomScaleNormal="100" workbookViewId="0">
      <selection activeCell="F68" sqref="F68"/>
    </sheetView>
  </sheetViews>
  <sheetFormatPr defaultColWidth="11.5546875" defaultRowHeight="14.4" x14ac:dyDescent="0.3"/>
  <cols>
    <col min="1" max="1" width="20.77734375" customWidth="1"/>
    <col min="2" max="2" width="28.44140625" customWidth="1"/>
    <col min="3" max="3" width="14" customWidth="1"/>
    <col min="10" max="10" width="42.33203125" bestFit="1" customWidth="1"/>
  </cols>
  <sheetData>
    <row r="4" spans="1:12" x14ac:dyDescent="0.3">
      <c r="C4" s="1" t="s">
        <v>1</v>
      </c>
      <c r="G4" s="1" t="s">
        <v>1</v>
      </c>
    </row>
    <row r="5" spans="1:12" x14ac:dyDescent="0.3">
      <c r="A5" s="98" t="s">
        <v>22</v>
      </c>
      <c r="B5" s="98"/>
      <c r="C5" s="88" t="s">
        <v>18</v>
      </c>
      <c r="D5" s="88"/>
      <c r="E5" s="88"/>
      <c r="F5" s="88"/>
      <c r="G5" s="88" t="s">
        <v>21</v>
      </c>
      <c r="H5" s="88"/>
      <c r="I5" s="88"/>
      <c r="J5" s="93" t="s">
        <v>23</v>
      </c>
    </row>
    <row r="6" spans="1:12" x14ac:dyDescent="0.3">
      <c r="A6" s="98"/>
      <c r="B6" s="98"/>
      <c r="C6" s="3" t="s">
        <v>15</v>
      </c>
      <c r="D6" s="3" t="s">
        <v>16</v>
      </c>
      <c r="E6" s="3" t="s">
        <v>85</v>
      </c>
      <c r="F6" s="3" t="s">
        <v>17</v>
      </c>
      <c r="G6" s="3" t="s">
        <v>15</v>
      </c>
      <c r="H6" s="3" t="s">
        <v>85</v>
      </c>
      <c r="I6" s="3" t="s">
        <v>17</v>
      </c>
      <c r="J6" s="93"/>
      <c r="L6" s="37" t="s">
        <v>38</v>
      </c>
    </row>
    <row r="7" spans="1:12" x14ac:dyDescent="0.3">
      <c r="A7" s="93" t="s">
        <v>19</v>
      </c>
      <c r="B7" s="3" t="s">
        <v>2</v>
      </c>
      <c r="C7" s="39">
        <v>425.5</v>
      </c>
      <c r="D7" s="39">
        <v>591.13442850000001</v>
      </c>
      <c r="E7" s="39">
        <v>588.97248049319296</v>
      </c>
      <c r="F7" s="39">
        <v>761.971</v>
      </c>
      <c r="G7" s="5">
        <f>C7/50</f>
        <v>8.51</v>
      </c>
      <c r="H7" s="5">
        <f>E7/50</f>
        <v>11.779449609863859</v>
      </c>
      <c r="I7" s="5">
        <f t="shared" ref="I7:I19" si="0">F7/50</f>
        <v>15.239420000000001</v>
      </c>
      <c r="J7" s="3"/>
      <c r="L7" s="37">
        <v>382</v>
      </c>
    </row>
    <row r="8" spans="1:12" x14ac:dyDescent="0.3">
      <c r="A8" s="93"/>
      <c r="B8" s="3" t="s">
        <v>3</v>
      </c>
      <c r="C8" s="39">
        <v>228.50746724999999</v>
      </c>
      <c r="D8" s="39">
        <v>649.59988399999997</v>
      </c>
      <c r="E8" s="39">
        <v>642.76818092668395</v>
      </c>
      <c r="F8" s="39">
        <v>979.96219599999995</v>
      </c>
      <c r="G8" s="5">
        <f t="shared" ref="G8:G19" si="1">C8/50</f>
        <v>4.5701493449999999</v>
      </c>
      <c r="H8" s="5">
        <f t="shared" ref="H8:H19" si="2">E8/50</f>
        <v>12.85536361853368</v>
      </c>
      <c r="I8" s="5">
        <f t="shared" si="0"/>
        <v>19.599243919999999</v>
      </c>
      <c r="J8" s="3"/>
      <c r="L8" s="37">
        <v>193</v>
      </c>
    </row>
    <row r="9" spans="1:12" x14ac:dyDescent="0.3">
      <c r="A9" s="93"/>
      <c r="B9" s="3" t="s">
        <v>4</v>
      </c>
      <c r="C9" s="39">
        <v>220</v>
      </c>
      <c r="D9" s="39">
        <v>361.53147485</v>
      </c>
      <c r="E9" s="39">
        <v>397.63088584624899</v>
      </c>
      <c r="F9" s="39">
        <v>589.12645299999997</v>
      </c>
      <c r="G9" s="5">
        <f t="shared" si="1"/>
        <v>4.4000000000000004</v>
      </c>
      <c r="H9" s="5">
        <f t="shared" si="2"/>
        <v>7.9526177169249799</v>
      </c>
      <c r="I9" s="5">
        <f t="shared" si="0"/>
        <v>11.78252906</v>
      </c>
      <c r="J9" s="3"/>
      <c r="L9" s="37">
        <v>40</v>
      </c>
    </row>
    <row r="10" spans="1:12" x14ac:dyDescent="0.3">
      <c r="A10" s="93"/>
      <c r="B10" s="3" t="s">
        <v>5</v>
      </c>
      <c r="C10" s="39">
        <v>370.01868180000002</v>
      </c>
      <c r="D10" s="39">
        <v>535.40114900000003</v>
      </c>
      <c r="E10" s="39">
        <v>502.89978438947298</v>
      </c>
      <c r="F10" s="39">
        <v>629.42962599999998</v>
      </c>
      <c r="G10" s="5">
        <f t="shared" si="1"/>
        <v>7.4003736360000003</v>
      </c>
      <c r="H10" s="5">
        <f t="shared" si="2"/>
        <v>10.057995687789459</v>
      </c>
      <c r="I10" s="5">
        <f t="shared" si="0"/>
        <v>12.588592519999999</v>
      </c>
      <c r="J10" s="3"/>
      <c r="L10" s="37">
        <v>19</v>
      </c>
    </row>
    <row r="11" spans="1:12" x14ac:dyDescent="0.3">
      <c r="A11" s="93" t="s">
        <v>20</v>
      </c>
      <c r="B11" s="3" t="s">
        <v>6</v>
      </c>
      <c r="C11" s="39">
        <v>106.87967265</v>
      </c>
      <c r="D11" s="39">
        <v>426.71363444999997</v>
      </c>
      <c r="E11" s="39">
        <v>573.46514913859596</v>
      </c>
      <c r="F11" s="39">
        <v>899.65072650000002</v>
      </c>
      <c r="G11" s="5">
        <f t="shared" si="1"/>
        <v>2.137593453</v>
      </c>
      <c r="H11" s="5">
        <f t="shared" si="2"/>
        <v>11.46930298277192</v>
      </c>
      <c r="I11" s="5">
        <f t="shared" si="0"/>
        <v>17.99301453</v>
      </c>
      <c r="J11" s="3"/>
      <c r="L11" s="37">
        <v>57</v>
      </c>
    </row>
    <row r="12" spans="1:12" x14ac:dyDescent="0.3">
      <c r="A12" s="93"/>
      <c r="B12" s="3" t="s">
        <v>7</v>
      </c>
      <c r="C12" s="39">
        <v>305.5</v>
      </c>
      <c r="D12" s="39">
        <v>969.9268945</v>
      </c>
      <c r="E12" s="39">
        <v>778.48775533333298</v>
      </c>
      <c r="F12" s="39">
        <v>1060.0363715000001</v>
      </c>
      <c r="G12" s="5">
        <f t="shared" si="1"/>
        <v>6.11</v>
      </c>
      <c r="H12" s="5">
        <f t="shared" si="2"/>
        <v>15.56975510666666</v>
      </c>
      <c r="I12" s="5">
        <f t="shared" si="0"/>
        <v>21.200727430000001</v>
      </c>
      <c r="J12" s="3" t="s">
        <v>225</v>
      </c>
      <c r="L12" s="37">
        <v>3</v>
      </c>
    </row>
    <row r="13" spans="1:12" x14ac:dyDescent="0.3">
      <c r="A13" s="93"/>
      <c r="B13" s="3" t="s">
        <v>8</v>
      </c>
      <c r="C13" s="39">
        <v>264.69302590000001</v>
      </c>
      <c r="D13" s="39">
        <v>476.99999999999898</v>
      </c>
      <c r="E13" s="39">
        <v>693.14127412000005</v>
      </c>
      <c r="F13" s="39">
        <v>1341.40798</v>
      </c>
      <c r="G13" s="5">
        <f t="shared" si="1"/>
        <v>5.2938605179999998</v>
      </c>
      <c r="H13" s="5">
        <f t="shared" si="2"/>
        <v>13.862825482400002</v>
      </c>
      <c r="I13" s="5">
        <f t="shared" si="0"/>
        <v>26.828159599999999</v>
      </c>
      <c r="J13" s="3"/>
      <c r="L13" s="37">
        <v>25</v>
      </c>
    </row>
    <row r="14" spans="1:12" x14ac:dyDescent="0.3">
      <c r="A14" s="93"/>
      <c r="B14" s="3" t="s">
        <v>9</v>
      </c>
      <c r="C14" s="39">
        <v>556.774496</v>
      </c>
      <c r="D14" s="39">
        <v>782.75489500000003</v>
      </c>
      <c r="E14" s="39">
        <v>782.75489500000003</v>
      </c>
      <c r="F14" s="39">
        <v>1008.735294</v>
      </c>
      <c r="G14" s="5">
        <f t="shared" si="1"/>
        <v>11.135489919999999</v>
      </c>
      <c r="H14" s="5">
        <f t="shared" si="2"/>
        <v>15.655097900000001</v>
      </c>
      <c r="I14" s="5">
        <f t="shared" si="0"/>
        <v>20.174705879999998</v>
      </c>
      <c r="J14" s="3" t="s">
        <v>225</v>
      </c>
      <c r="L14" s="37">
        <v>2</v>
      </c>
    </row>
    <row r="15" spans="1:12" x14ac:dyDescent="0.3">
      <c r="A15" s="93"/>
      <c r="B15" s="3" t="s">
        <v>10</v>
      </c>
      <c r="C15" s="39">
        <v>301.8292338</v>
      </c>
      <c r="D15" s="39">
        <v>331.37734315</v>
      </c>
      <c r="E15" s="39">
        <v>347.553312333333</v>
      </c>
      <c r="F15" s="39">
        <v>409.45336005000001</v>
      </c>
      <c r="G15" s="5">
        <f t="shared" si="1"/>
        <v>6.0365846760000004</v>
      </c>
      <c r="H15" s="5">
        <f t="shared" si="2"/>
        <v>6.9510662466666595</v>
      </c>
      <c r="I15" s="5">
        <f t="shared" si="0"/>
        <v>8.1890672010000003</v>
      </c>
      <c r="J15" s="3" t="s">
        <v>225</v>
      </c>
      <c r="L15" s="37">
        <v>3</v>
      </c>
    </row>
    <row r="16" spans="1:12" x14ac:dyDescent="0.3">
      <c r="A16" s="93"/>
      <c r="B16" s="3" t="s">
        <v>11</v>
      </c>
      <c r="C16" s="39">
        <v>390.70173979999998</v>
      </c>
      <c r="D16" s="39">
        <v>590.97850000000005</v>
      </c>
      <c r="E16" s="39">
        <v>553.62136794230696</v>
      </c>
      <c r="F16" s="39">
        <v>690.17644999999902</v>
      </c>
      <c r="G16" s="5">
        <f t="shared" si="1"/>
        <v>7.8140347959999996</v>
      </c>
      <c r="H16" s="5">
        <f t="shared" si="2"/>
        <v>11.07242735884614</v>
      </c>
      <c r="I16" s="5">
        <f t="shared" si="0"/>
        <v>13.80352899999998</v>
      </c>
      <c r="J16" s="3"/>
      <c r="L16" s="37">
        <v>13</v>
      </c>
    </row>
    <row r="17" spans="1:12" x14ac:dyDescent="0.3">
      <c r="A17" s="93"/>
      <c r="B17" s="46" t="s">
        <v>12</v>
      </c>
      <c r="C17" s="47">
        <v>348</v>
      </c>
      <c r="D17" s="47">
        <v>457.5</v>
      </c>
      <c r="E17" s="47">
        <v>445.5</v>
      </c>
      <c r="F17" s="47">
        <v>489</v>
      </c>
      <c r="G17" s="5">
        <f t="shared" si="1"/>
        <v>6.96</v>
      </c>
      <c r="H17" s="5">
        <f>E17/50</f>
        <v>8.91</v>
      </c>
      <c r="I17" s="5">
        <f t="shared" si="0"/>
        <v>9.7799999999999994</v>
      </c>
      <c r="J17" s="3" t="s">
        <v>225</v>
      </c>
      <c r="K17" s="35" t="s">
        <v>98</v>
      </c>
      <c r="L17" s="37">
        <v>1</v>
      </c>
    </row>
    <row r="18" spans="1:12" x14ac:dyDescent="0.3">
      <c r="A18" s="93"/>
      <c r="B18" s="3" t="s">
        <v>13</v>
      </c>
      <c r="C18" s="39">
        <v>810</v>
      </c>
      <c r="D18" s="39">
        <v>810</v>
      </c>
      <c r="E18" s="39">
        <v>810</v>
      </c>
      <c r="F18" s="39">
        <v>810</v>
      </c>
      <c r="G18" s="5">
        <f t="shared" si="1"/>
        <v>16.2</v>
      </c>
      <c r="H18" s="5">
        <f t="shared" si="2"/>
        <v>16.2</v>
      </c>
      <c r="I18" s="5">
        <f t="shared" si="0"/>
        <v>16.2</v>
      </c>
      <c r="J18" s="3" t="s">
        <v>225</v>
      </c>
      <c r="L18" s="37">
        <v>1</v>
      </c>
    </row>
    <row r="19" spans="1:12" x14ac:dyDescent="0.3">
      <c r="A19" s="93"/>
      <c r="B19" s="3" t="s">
        <v>14</v>
      </c>
      <c r="C19" s="39">
        <v>314.5</v>
      </c>
      <c r="D19" s="39">
        <v>365</v>
      </c>
      <c r="E19" s="39">
        <v>380.76225355999998</v>
      </c>
      <c r="F19" s="39">
        <v>490</v>
      </c>
      <c r="G19" s="5">
        <f t="shared" si="1"/>
        <v>6.29</v>
      </c>
      <c r="H19" s="5">
        <f t="shared" si="2"/>
        <v>7.6152450711999995</v>
      </c>
      <c r="I19" s="5">
        <f t="shared" si="0"/>
        <v>9.8000000000000007</v>
      </c>
      <c r="J19" s="3" t="s">
        <v>225</v>
      </c>
      <c r="L19" s="37">
        <v>5</v>
      </c>
    </row>
    <row r="22" spans="1:12" x14ac:dyDescent="0.3">
      <c r="A22" t="s">
        <v>29</v>
      </c>
      <c r="B22" t="s">
        <v>18</v>
      </c>
      <c r="C22" t="s">
        <v>21</v>
      </c>
    </row>
    <row r="23" spans="1:12" x14ac:dyDescent="0.3">
      <c r="A23" t="s">
        <v>31</v>
      </c>
      <c r="B23">
        <v>819.8</v>
      </c>
      <c r="C23" s="4">
        <f>B23/50</f>
        <v>16.396000000000001</v>
      </c>
    </row>
    <row r="24" spans="1:12" x14ac:dyDescent="0.3">
      <c r="A24" t="s">
        <v>32</v>
      </c>
      <c r="B24">
        <v>618.19000000000005</v>
      </c>
      <c r="C24" s="4">
        <f>B24/50</f>
        <v>12.363800000000001</v>
      </c>
    </row>
    <row r="54" spans="1:11" x14ac:dyDescent="0.3">
      <c r="A54" s="6" t="s">
        <v>97</v>
      </c>
    </row>
    <row r="55" spans="1:11" x14ac:dyDescent="0.3">
      <c r="D55" t="s">
        <v>43</v>
      </c>
    </row>
    <row r="56" spans="1:11" ht="28.8" x14ac:dyDescent="0.3">
      <c r="A56" s="37" t="s">
        <v>86</v>
      </c>
      <c r="B56" s="37" t="s">
        <v>87</v>
      </c>
      <c r="C56" s="37" t="s">
        <v>88</v>
      </c>
      <c r="D56" s="38">
        <v>0.5</v>
      </c>
      <c r="E56" s="37" t="s">
        <v>42</v>
      </c>
      <c r="F56" s="37" t="s">
        <v>89</v>
      </c>
      <c r="J56" s="38">
        <v>0.25</v>
      </c>
      <c r="K56" s="38">
        <v>0.75</v>
      </c>
    </row>
    <row r="57" spans="1:11" x14ac:dyDescent="0.3">
      <c r="A57" s="37" t="s">
        <v>90</v>
      </c>
      <c r="B57" s="37">
        <v>1</v>
      </c>
      <c r="C57" s="37">
        <v>368.92602740000001</v>
      </c>
      <c r="D57" s="37">
        <v>368.92602740000001</v>
      </c>
      <c r="E57" s="37">
        <v>368.92602740000001</v>
      </c>
      <c r="F57" s="37">
        <v>368.92602740000001</v>
      </c>
      <c r="J57" s="37">
        <v>368.92602740000001</v>
      </c>
      <c r="K57" s="37">
        <v>368.92602740000001</v>
      </c>
    </row>
    <row r="58" spans="1:11" x14ac:dyDescent="0.3">
      <c r="A58" s="37" t="s">
        <v>91</v>
      </c>
      <c r="B58" s="37">
        <v>3</v>
      </c>
      <c r="C58" s="37">
        <v>305.5</v>
      </c>
      <c r="D58" s="37">
        <v>969.9268945</v>
      </c>
      <c r="E58" s="37">
        <v>778.48775533333298</v>
      </c>
      <c r="F58" s="37">
        <v>1060.0363715000001</v>
      </c>
      <c r="J58" s="37">
        <v>637.71344724999994</v>
      </c>
      <c r="K58" s="37">
        <v>1014.981633</v>
      </c>
    </row>
    <row r="59" spans="1:11" x14ac:dyDescent="0.3">
      <c r="A59" s="37" t="s">
        <v>92</v>
      </c>
      <c r="B59" s="37">
        <v>3</v>
      </c>
      <c r="C59" s="37">
        <v>301.8292338</v>
      </c>
      <c r="D59" s="37">
        <v>331.37734315</v>
      </c>
      <c r="E59" s="37">
        <v>347.553312333333</v>
      </c>
      <c r="F59" s="37">
        <v>409.45336005000001</v>
      </c>
      <c r="J59" s="37">
        <v>316.603288475</v>
      </c>
      <c r="K59" s="37">
        <v>370.41535160000001</v>
      </c>
    </row>
    <row r="60" spans="1:11" x14ac:dyDescent="0.3">
      <c r="A60" s="37" t="s">
        <v>13</v>
      </c>
      <c r="B60" s="37">
        <v>1</v>
      </c>
      <c r="C60" s="37">
        <v>810</v>
      </c>
      <c r="D60" s="37">
        <v>810</v>
      </c>
      <c r="E60" s="37">
        <v>810</v>
      </c>
      <c r="F60" s="37">
        <v>810</v>
      </c>
      <c r="J60" s="37">
        <v>810</v>
      </c>
      <c r="K60" s="37">
        <v>810</v>
      </c>
    </row>
    <row r="61" spans="1:11" x14ac:dyDescent="0.3">
      <c r="A61" s="37" t="s">
        <v>3</v>
      </c>
      <c r="B61" s="37">
        <v>193</v>
      </c>
      <c r="C61" s="37">
        <v>228.50746724999999</v>
      </c>
      <c r="D61" s="37">
        <v>649.59988399999997</v>
      </c>
      <c r="E61" s="37">
        <v>642.76818092668395</v>
      </c>
      <c r="F61" s="37">
        <v>979.96219599999995</v>
      </c>
      <c r="J61" s="37">
        <v>501.887035499999</v>
      </c>
      <c r="K61" s="37">
        <v>763.68372950000003</v>
      </c>
    </row>
    <row r="62" spans="1:11" x14ac:dyDescent="0.3">
      <c r="A62" s="37" t="s">
        <v>6</v>
      </c>
      <c r="B62" s="37">
        <v>57</v>
      </c>
      <c r="C62" s="37">
        <v>106.87967265</v>
      </c>
      <c r="D62" s="37">
        <v>426.71363444999997</v>
      </c>
      <c r="E62" s="37">
        <v>573.46514913859596</v>
      </c>
      <c r="F62" s="37">
        <v>899.65072650000002</v>
      </c>
      <c r="J62" s="37">
        <v>330.59104200000002</v>
      </c>
      <c r="K62" s="37">
        <v>559</v>
      </c>
    </row>
    <row r="63" spans="1:11" x14ac:dyDescent="0.3">
      <c r="A63" s="37" t="s">
        <v>14</v>
      </c>
      <c r="B63" s="37">
        <v>5</v>
      </c>
      <c r="C63" s="37">
        <v>314.5</v>
      </c>
      <c r="D63" s="37">
        <v>365</v>
      </c>
      <c r="E63" s="37">
        <v>380.76225355999998</v>
      </c>
      <c r="F63" s="37">
        <v>490</v>
      </c>
      <c r="J63" s="37">
        <v>329.8112678</v>
      </c>
      <c r="K63" s="37">
        <v>404.5</v>
      </c>
    </row>
    <row r="64" spans="1:11" x14ac:dyDescent="0.3">
      <c r="A64" s="37" t="s">
        <v>93</v>
      </c>
      <c r="B64" s="37">
        <v>13</v>
      </c>
      <c r="C64" s="37">
        <v>390.70173979999998</v>
      </c>
      <c r="D64" s="37">
        <v>590.97850000000005</v>
      </c>
      <c r="E64" s="37">
        <v>553.62136794230696</v>
      </c>
      <c r="F64" s="37">
        <v>690.17644999999902</v>
      </c>
      <c r="J64" s="37">
        <v>511</v>
      </c>
      <c r="K64" s="37">
        <v>618.79840000000002</v>
      </c>
    </row>
    <row r="65" spans="1:11" x14ac:dyDescent="0.3">
      <c r="A65" s="37" t="s">
        <v>4</v>
      </c>
      <c r="B65" s="37">
        <v>40</v>
      </c>
      <c r="C65" s="37">
        <v>220</v>
      </c>
      <c r="D65" s="37">
        <v>361.53147485</v>
      </c>
      <c r="E65" s="37">
        <v>397.63088584624899</v>
      </c>
      <c r="F65" s="37">
        <v>589.12645299999997</v>
      </c>
      <c r="J65" s="37">
        <v>303.13484627499997</v>
      </c>
      <c r="K65" s="37">
        <v>525.86608787499995</v>
      </c>
    </row>
    <row r="66" spans="1:11" x14ac:dyDescent="0.3">
      <c r="A66" s="37" t="s">
        <v>94</v>
      </c>
      <c r="B66" s="37">
        <v>25</v>
      </c>
      <c r="C66" s="37">
        <v>264.69302590000001</v>
      </c>
      <c r="D66" s="37">
        <v>476.99999999999898</v>
      </c>
      <c r="E66" s="37">
        <v>693.14127412000005</v>
      </c>
      <c r="F66" s="37">
        <v>1341.40798</v>
      </c>
      <c r="J66" s="37">
        <v>419.5</v>
      </c>
      <c r="K66" s="37">
        <v>930.115377499999</v>
      </c>
    </row>
    <row r="67" spans="1:11" x14ac:dyDescent="0.3">
      <c r="A67" s="37" t="s">
        <v>95</v>
      </c>
      <c r="B67" s="37">
        <v>19</v>
      </c>
      <c r="C67" s="37">
        <v>370.01868180000002</v>
      </c>
      <c r="D67" s="37">
        <v>535.40114900000003</v>
      </c>
      <c r="E67" s="37">
        <v>502.89978438947298</v>
      </c>
      <c r="F67" s="37">
        <v>629.42962599999998</v>
      </c>
      <c r="J67" s="37">
        <v>411.70235012500001</v>
      </c>
      <c r="K67" s="37">
        <v>567.27258974999995</v>
      </c>
    </row>
    <row r="68" spans="1:11" x14ac:dyDescent="0.3">
      <c r="A68" s="37" t="s">
        <v>2</v>
      </c>
      <c r="B68" s="37">
        <v>382</v>
      </c>
      <c r="C68" s="37">
        <v>425.5</v>
      </c>
      <c r="D68" s="37">
        <v>591.13442850000001</v>
      </c>
      <c r="E68" s="37">
        <v>588.97248049319296</v>
      </c>
      <c r="F68" s="37">
        <v>761.971</v>
      </c>
      <c r="J68" s="37">
        <v>548.98450949999994</v>
      </c>
      <c r="K68" s="37">
        <v>634.66583787499997</v>
      </c>
    </row>
    <row r="69" spans="1:11" x14ac:dyDescent="0.3">
      <c r="A69" s="37" t="s">
        <v>96</v>
      </c>
      <c r="B69" s="37">
        <v>2</v>
      </c>
      <c r="C69" s="37">
        <v>556.774496</v>
      </c>
      <c r="D69" s="37">
        <v>782.75489500000003</v>
      </c>
      <c r="E69" s="37">
        <v>782.75489500000003</v>
      </c>
      <c r="F69" s="37">
        <v>1008.735294</v>
      </c>
      <c r="J69" s="37">
        <v>669.76469550000002</v>
      </c>
      <c r="K69" s="37">
        <v>895.74509450000005</v>
      </c>
    </row>
  </sheetData>
  <mergeCells count="6">
    <mergeCell ref="A11:A19"/>
    <mergeCell ref="C5:F5"/>
    <mergeCell ref="G5:I5"/>
    <mergeCell ref="J5:J6"/>
    <mergeCell ref="A7:A10"/>
    <mergeCell ref="A5:B6"/>
  </mergeCells>
  <conditionalFormatting sqref="D7:E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:I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EE09-77D0-42F9-B075-745D346D74E8}">
  <dimension ref="A1"/>
  <sheetViews>
    <sheetView zoomScale="145" zoomScaleNormal="145" workbookViewId="0">
      <selection activeCell="L15" sqref="L15"/>
    </sheetView>
  </sheetViews>
  <sheetFormatPr defaultColWidth="11.5546875" defaultRowHeight="14.4" x14ac:dyDescent="0.3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Benchmarks</vt:lpstr>
      <vt:lpstr>SIA 390</vt:lpstr>
      <vt:lpstr>NWG_Stat_JB</vt:lpstr>
      <vt:lpstr>ReWoTy</vt:lpstr>
      <vt:lpstr>Röck et al</vt:lpstr>
      <vt:lpstr>Abbildung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Bischof</dc:creator>
  <cp:lastModifiedBy>Guillaume Behem</cp:lastModifiedBy>
  <dcterms:created xsi:type="dcterms:W3CDTF">2015-06-05T18:19:34Z</dcterms:created>
  <dcterms:modified xsi:type="dcterms:W3CDTF">2026-03-09T09:56:38Z</dcterms:modified>
</cp:coreProperties>
</file>