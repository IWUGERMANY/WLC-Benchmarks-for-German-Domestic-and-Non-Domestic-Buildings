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uillaume\Nextcloud6\LezBau.Public\AP1 Grundlagen\Benchmarks\"/>
    </mc:Choice>
  </mc:AlternateContent>
  <xr:revisionPtr revIDLastSave="0" documentId="13_ncr:1_{3C702C1E-392C-4840-A485-5B8504A2E9D3}" xr6:coauthVersionLast="47" xr6:coauthVersionMax="47" xr10:uidLastSave="{00000000-0000-0000-0000-000000000000}"/>
  <bookViews>
    <workbookView xWindow="-28920" yWindow="-2010" windowWidth="29040" windowHeight="15720" tabRatio="759" xr2:uid="{00000000-000D-0000-FFFF-FFFF00000000}"/>
  </bookViews>
  <sheets>
    <sheet name="Benchmarks" sheetId="12" r:id="rId1"/>
    <sheet name="targets" sheetId="22" r:id="rId2"/>
    <sheet name="op_non-res" sheetId="17" r:id="rId3"/>
    <sheet name="op_res" sheetId="23" r:id="rId4"/>
    <sheet name="emb_res_non-res" sheetId="3" r:id="rId5"/>
    <sheet name="Abbildung" sheetId="7" state="hidden" r:id="rId6"/>
  </sheets>
  <calcPr calcId="191029" iterateCount="15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62" i="12" l="1"/>
  <c r="BH165" i="12"/>
  <c r="BH171" i="12"/>
  <c r="BH170" i="12"/>
  <c r="BH168" i="12"/>
  <c r="BH174" i="12"/>
  <c r="BH166" i="12"/>
  <c r="BH173" i="12"/>
  <c r="BH164" i="12"/>
  <c r="BH172" i="12"/>
  <c r="BH167" i="12"/>
  <c r="BH169" i="12"/>
  <c r="BH163" i="12"/>
  <c r="T20" i="12" l="1"/>
  <c r="V20" i="12"/>
  <c r="T18" i="12"/>
  <c r="V18" i="12"/>
  <c r="T16" i="12"/>
  <c r="T14" i="12"/>
  <c r="V14" i="12"/>
  <c r="T22" i="12"/>
  <c r="T15" i="12"/>
  <c r="V15" i="12"/>
  <c r="T19" i="12"/>
  <c r="V19" i="12"/>
  <c r="T17" i="12"/>
  <c r="V17" i="12"/>
  <c r="T23" i="12"/>
  <c r="V23" i="12"/>
  <c r="T21" i="12"/>
  <c r="V21" i="12"/>
  <c r="T24" i="12"/>
  <c r="H16" i="3"/>
  <c r="I11" i="3"/>
  <c r="AN16" i="12" s="1"/>
  <c r="H6" i="3"/>
  <c r="I6" i="3"/>
  <c r="I8" i="3"/>
  <c r="I9" i="3"/>
  <c r="I7" i="3"/>
  <c r="AN13" i="12" s="1"/>
  <c r="I10" i="3"/>
  <c r="AN14" i="12" s="1"/>
  <c r="I12" i="3"/>
  <c r="AN17" i="12" s="1"/>
  <c r="I13" i="3"/>
  <c r="AN19" i="12" s="1"/>
  <c r="I15" i="3"/>
  <c r="AN21" i="12" s="1"/>
  <c r="I23" i="23"/>
  <c r="I24" i="23" s="1"/>
  <c r="I25" i="23" s="1"/>
  <c r="I26" i="23" s="1"/>
  <c r="T13" i="12" s="1"/>
  <c r="S8" i="23"/>
  <c r="T8" i="23" s="1"/>
  <c r="U8" i="23" s="1"/>
  <c r="V8" i="23" s="1"/>
  <c r="W8" i="23" s="1"/>
  <c r="V13" i="12" s="1"/>
  <c r="V16" i="12"/>
  <c r="V22" i="12"/>
  <c r="V24" i="12"/>
  <c r="H23" i="23"/>
  <c r="H24" i="23" s="1"/>
  <c r="H25" i="23" s="1"/>
  <c r="H26" i="23" s="1"/>
  <c r="T12" i="12" s="1"/>
  <c r="S5" i="23"/>
  <c r="T5" i="23" s="1"/>
  <c r="U5" i="23" s="1"/>
  <c r="V5" i="23" s="1"/>
  <c r="W5" i="23" s="1"/>
  <c r="V12" i="12" s="1"/>
  <c r="S6" i="23"/>
  <c r="T6" i="23" s="1"/>
  <c r="U6" i="23" s="1"/>
  <c r="V6" i="23" s="1"/>
  <c r="W6" i="23" s="1"/>
  <c r="S7" i="23"/>
  <c r="T7" i="23" s="1"/>
  <c r="U7" i="23" s="1"/>
  <c r="V7" i="23" s="1"/>
  <c r="W7" i="23" s="1"/>
  <c r="S9" i="23"/>
  <c r="T9" i="23" s="1"/>
  <c r="U9" i="23" s="1"/>
  <c r="V9" i="23" s="1"/>
  <c r="W9" i="23" s="1"/>
  <c r="S10" i="23"/>
  <c r="T10" i="23" s="1"/>
  <c r="U10" i="23" s="1"/>
  <c r="V10" i="23" s="1"/>
  <c r="W10" i="23" s="1"/>
  <c r="H7" i="3"/>
  <c r="AL13" i="12" s="1"/>
  <c r="H8" i="3"/>
  <c r="H9" i="3"/>
  <c r="H10" i="3"/>
  <c r="AL14" i="12" s="1"/>
  <c r="H11" i="3"/>
  <c r="AL16" i="12" s="1"/>
  <c r="H12" i="3"/>
  <c r="AL17" i="12" s="1"/>
  <c r="H13" i="3"/>
  <c r="AL19" i="12" s="1"/>
  <c r="H14" i="3"/>
  <c r="H15" i="3"/>
  <c r="AL21" i="12" s="1"/>
  <c r="H17" i="3"/>
  <c r="H18" i="3"/>
  <c r="AH22" i="12"/>
  <c r="D13" i="12"/>
  <c r="D14" i="12"/>
  <c r="D15" i="12"/>
  <c r="D16" i="12"/>
  <c r="D17" i="12"/>
  <c r="D18" i="12"/>
  <c r="D19" i="12"/>
  <c r="D20" i="12"/>
  <c r="D21" i="12"/>
  <c r="D12" i="12"/>
  <c r="C22" i="3"/>
  <c r="I14" i="3"/>
  <c r="C23" i="3"/>
  <c r="I18" i="3"/>
  <c r="G18" i="3"/>
  <c r="I17" i="3"/>
  <c r="G17" i="3"/>
  <c r="I16" i="3"/>
  <c r="G16" i="3"/>
  <c r="G15" i="3"/>
  <c r="G14" i="3"/>
  <c r="G13" i="3"/>
  <c r="G12" i="3"/>
  <c r="G11" i="3"/>
  <c r="G10" i="3"/>
  <c r="G9" i="3"/>
  <c r="G8" i="3"/>
  <c r="G7" i="3"/>
  <c r="G6" i="3"/>
  <c r="BI170" i="12" l="1"/>
  <c r="BI171" i="12"/>
  <c r="BI163" i="12"/>
  <c r="BI165" i="12"/>
  <c r="BI166" i="12"/>
  <c r="BI164" i="12"/>
  <c r="BI162" i="12"/>
  <c r="BI174" i="12"/>
  <c r="BI168" i="12"/>
  <c r="BI173" i="12"/>
  <c r="U24" i="12"/>
  <c r="U19" i="12"/>
  <c r="AJ20" i="12"/>
  <c r="AN12" i="12"/>
  <c r="H17" i="12"/>
  <c r="AL24" i="12"/>
  <c r="H24" i="12" s="1"/>
  <c r="R21" i="12"/>
  <c r="J14" i="12"/>
  <c r="AL12" i="12"/>
  <c r="H12" i="12" s="1"/>
  <c r="Q14" i="12"/>
  <c r="R14" i="12"/>
  <c r="AN22" i="12"/>
  <c r="AN23" i="12" s="1"/>
  <c r="AN24" i="12"/>
  <c r="J21" i="12"/>
  <c r="BU164" i="12" s="1"/>
  <c r="J19" i="12"/>
  <c r="AN20" i="12"/>
  <c r="J16" i="12"/>
  <c r="U17" i="12"/>
  <c r="H21" i="12"/>
  <c r="BQ164" i="12" s="1"/>
  <c r="U22" i="12"/>
  <c r="D22" i="12"/>
  <c r="AM13" i="12"/>
  <c r="Q12" i="12"/>
  <c r="AI21" i="12"/>
  <c r="AI20" i="12"/>
  <c r="Q20" i="12"/>
  <c r="AI14" i="12"/>
  <c r="AH23" i="12"/>
  <c r="J12" i="12"/>
  <c r="AM17" i="12"/>
  <c r="AL18" i="12"/>
  <c r="AL15" i="12"/>
  <c r="AM16" i="12"/>
  <c r="AL20" i="12"/>
  <c r="H20" i="12" s="1"/>
  <c r="U12" i="12"/>
  <c r="AN15" i="12"/>
  <c r="J17" i="12"/>
  <c r="BU168" i="12" s="1"/>
  <c r="AN18" i="12"/>
  <c r="H16" i="12"/>
  <c r="BQ170" i="12" s="1"/>
  <c r="U16" i="12"/>
  <c r="U15" i="12"/>
  <c r="J13" i="12"/>
  <c r="BU162" i="12" s="1"/>
  <c r="Q21" i="12"/>
  <c r="U23" i="12"/>
  <c r="U20" i="12"/>
  <c r="AL22" i="12"/>
  <c r="AM21" i="12"/>
  <c r="U14" i="12"/>
  <c r="H14" i="12"/>
  <c r="BQ165" i="12" s="1"/>
  <c r="U13" i="12"/>
  <c r="H13" i="12"/>
  <c r="BQ162" i="12" s="1"/>
  <c r="H19" i="12"/>
  <c r="BQ166" i="12" s="1"/>
  <c r="AM19" i="12"/>
  <c r="U21" i="12"/>
  <c r="U18" i="12"/>
  <c r="AM14" i="12"/>
  <c r="AJ21" i="12"/>
  <c r="BQ173" i="12" l="1"/>
  <c r="BI172" i="12"/>
  <c r="BQ169" i="12"/>
  <c r="BU163" i="12"/>
  <c r="BU165" i="12"/>
  <c r="BU166" i="12"/>
  <c r="AH24" i="12"/>
  <c r="BQ168" i="12"/>
  <c r="BQ163" i="12"/>
  <c r="BU170" i="12"/>
  <c r="AJ17" i="12"/>
  <c r="Q13" i="12"/>
  <c r="AM12" i="12"/>
  <c r="E14" i="12"/>
  <c r="BK165" i="12" s="1"/>
  <c r="AI18" i="12"/>
  <c r="AJ14" i="12"/>
  <c r="AJ22" i="12" s="1"/>
  <c r="AM24" i="12"/>
  <c r="Q16" i="12"/>
  <c r="Q17" i="12"/>
  <c r="S21" i="12"/>
  <c r="D23" i="12"/>
  <c r="AI17" i="12"/>
  <c r="AI13" i="12"/>
  <c r="AI12" i="12"/>
  <c r="E12" i="12" s="1"/>
  <c r="R15" i="12"/>
  <c r="J24" i="12"/>
  <c r="R17" i="12"/>
  <c r="AI19" i="12"/>
  <c r="Q15" i="12"/>
  <c r="J20" i="12"/>
  <c r="AI22" i="12"/>
  <c r="AI15" i="12"/>
  <c r="AI23" i="12"/>
  <c r="AI16" i="12"/>
  <c r="I21" i="12"/>
  <c r="AI24" i="12"/>
  <c r="J22" i="12"/>
  <c r="AM22" i="12"/>
  <c r="H22" i="12"/>
  <c r="BQ172" i="12" s="1"/>
  <c r="AL23" i="12"/>
  <c r="I16" i="12"/>
  <c r="BS170" i="12" s="1"/>
  <c r="J15" i="12"/>
  <c r="BU171" i="12" s="1"/>
  <c r="AM15" i="12"/>
  <c r="R16" i="12"/>
  <c r="R20" i="12"/>
  <c r="AM18" i="12"/>
  <c r="H18" i="12"/>
  <c r="BQ174" i="12" s="1"/>
  <c r="I14" i="12"/>
  <c r="BS165" i="12" s="1"/>
  <c r="R12" i="12"/>
  <c r="R13" i="12"/>
  <c r="I12" i="12"/>
  <c r="AJ13" i="12"/>
  <c r="AJ12" i="12"/>
  <c r="H15" i="12"/>
  <c r="BQ171" i="12" s="1"/>
  <c r="AK21" i="12"/>
  <c r="F21" i="12"/>
  <c r="BM164" i="12" s="1"/>
  <c r="E20" i="12"/>
  <c r="BK173" i="12" s="1"/>
  <c r="E21" i="12"/>
  <c r="BK164" i="12" s="1"/>
  <c r="I13" i="12"/>
  <c r="J18" i="12"/>
  <c r="BU174" i="12" s="1"/>
  <c r="J23" i="12"/>
  <c r="BU167" i="12" s="1"/>
  <c r="I17" i="12"/>
  <c r="BS168" i="12" s="1"/>
  <c r="I19" i="12"/>
  <c r="BS166" i="12" s="1"/>
  <c r="AM20" i="12"/>
  <c r="AK20" i="12"/>
  <c r="BS162" i="12" l="1"/>
  <c r="BU172" i="12"/>
  <c r="BI167" i="12"/>
  <c r="R18" i="12"/>
  <c r="E13" i="12"/>
  <c r="BU169" i="12"/>
  <c r="Q18" i="12"/>
  <c r="E18" i="12" s="1"/>
  <c r="BK163" i="12"/>
  <c r="BS163" i="12"/>
  <c r="BS164" i="12"/>
  <c r="BU173" i="12"/>
  <c r="D24" i="12"/>
  <c r="AK17" i="12"/>
  <c r="Q19" i="12"/>
  <c r="Q23" i="12"/>
  <c r="Q24" i="12"/>
  <c r="Q22" i="12"/>
  <c r="AJ19" i="12"/>
  <c r="AJ15" i="12"/>
  <c r="AJ24" i="12"/>
  <c r="AK24" i="12" s="1"/>
  <c r="S15" i="12"/>
  <c r="AJ23" i="12"/>
  <c r="AJ18" i="12"/>
  <c r="F17" i="12"/>
  <c r="AK14" i="12"/>
  <c r="AJ16" i="12"/>
  <c r="AK16" i="12" s="1"/>
  <c r="E17" i="12"/>
  <c r="E16" i="12"/>
  <c r="I24" i="12"/>
  <c r="I20" i="12"/>
  <c r="E15" i="12"/>
  <c r="BK171" i="12" s="1"/>
  <c r="S17" i="12"/>
  <c r="R19" i="12"/>
  <c r="S13" i="12"/>
  <c r="F13" i="12"/>
  <c r="BM162" i="12" s="1"/>
  <c r="G21" i="12"/>
  <c r="BO164" i="12" s="1"/>
  <c r="F12" i="12"/>
  <c r="BM163" i="12" s="1"/>
  <c r="S12" i="12"/>
  <c r="AM23" i="12"/>
  <c r="H23" i="12"/>
  <c r="BQ167" i="12" s="1"/>
  <c r="F14" i="12"/>
  <c r="BM165" i="12" s="1"/>
  <c r="R24" i="12"/>
  <c r="R23" i="12"/>
  <c r="S14" i="12"/>
  <c r="R22" i="12"/>
  <c r="I22" i="12"/>
  <c r="BS172" i="12" s="1"/>
  <c r="I15" i="12"/>
  <c r="S20" i="12"/>
  <c r="F20" i="12"/>
  <c r="BM173" i="12" s="1"/>
  <c r="AK12" i="12"/>
  <c r="S16" i="12"/>
  <c r="AK13" i="12"/>
  <c r="AK22" i="12"/>
  <c r="I18" i="12"/>
  <c r="BS169" i="12" l="1"/>
  <c r="BS174" i="12"/>
  <c r="E19" i="12"/>
  <c r="BK166" i="12" s="1"/>
  <c r="BK168" i="12"/>
  <c r="BI169" i="12"/>
  <c r="BM168" i="12"/>
  <c r="BK162" i="12"/>
  <c r="AK23" i="12"/>
  <c r="S18" i="12"/>
  <c r="BK174" i="12"/>
  <c r="S19" i="12"/>
  <c r="BK170" i="12"/>
  <c r="BS171" i="12"/>
  <c r="BS173" i="12"/>
  <c r="E23" i="12"/>
  <c r="E24" i="12"/>
  <c r="BK169" i="12" s="1"/>
  <c r="E22" i="12"/>
  <c r="AK19" i="12"/>
  <c r="F15" i="12"/>
  <c r="AK15" i="12"/>
  <c r="F19" i="12"/>
  <c r="G19" i="12" s="1"/>
  <c r="G17" i="12"/>
  <c r="F18" i="12"/>
  <c r="F16" i="12"/>
  <c r="AK18" i="12"/>
  <c r="S24" i="12"/>
  <c r="F24" i="12"/>
  <c r="BM169" i="12" s="1"/>
  <c r="G14" i="12"/>
  <c r="BO165" i="12" s="1"/>
  <c r="I23" i="12"/>
  <c r="BS167" i="12" s="1"/>
  <c r="G12" i="12"/>
  <c r="BO163" i="12" s="1"/>
  <c r="G20" i="12"/>
  <c r="BO173" i="12" s="1"/>
  <c r="F22" i="12"/>
  <c r="BM172" i="12" s="1"/>
  <c r="S22" i="12"/>
  <c r="G13" i="12"/>
  <c r="BO162" i="12" s="1"/>
  <c r="F23" i="12"/>
  <c r="BM167" i="12" s="1"/>
  <c r="S23" i="12"/>
  <c r="BK167" i="12" l="1"/>
  <c r="BK172" i="12"/>
  <c r="BM174" i="12"/>
  <c r="BO166" i="12"/>
  <c r="BO168" i="12"/>
  <c r="BM166" i="12"/>
  <c r="BM171" i="12"/>
  <c r="BM170" i="12"/>
  <c r="G16" i="12"/>
  <c r="G15" i="12"/>
  <c r="G18" i="12"/>
  <c r="G23" i="12"/>
  <c r="BO167" i="12" s="1"/>
  <c r="G22" i="12"/>
  <c r="BO172" i="12" s="1"/>
  <c r="G24" i="12"/>
  <c r="BO169" i="12" s="1"/>
  <c r="BO170" i="12" l="1"/>
  <c r="BO174" i="12"/>
  <c r="BO17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tc={2B1994F7-F1AC-49A1-A8FA-3E72AFA8BADC}</author>
  </authors>
  <commentList>
    <comment ref="D1" authorId="0" shapeId="0" xr:uid="{2B1994F7-F1AC-49A1-A8FA-3E72AFA8BADC}">
      <text>
        <t>[Threaded comment]
Your version of Excel allows you to read this threaded comment; however, any edits to it will get removed if the file is opened in a newer version of Excel. Learn more: https://go.microsoft.com/fwlink/?linkid=870924
Comment:
    Harmonization based on Röck et al. 2020 „Embodied GHG emissions of buildings – The hidden challenge for effective climate change mitigation“</t>
      </text>
    </comment>
  </commentList>
</comments>
</file>

<file path=xl/sharedStrings.xml><?xml version="1.0" encoding="utf-8"?>
<sst xmlns="http://schemas.openxmlformats.org/spreadsheetml/2006/main" count="531" uniqueCount="268">
  <si>
    <t>Wohnen</t>
  </si>
  <si>
    <t>Single family house</t>
  </si>
  <si>
    <t>Multi-family house</t>
  </si>
  <si>
    <t>Row house</t>
  </si>
  <si>
    <t>semi-detached</t>
  </si>
  <si>
    <t>Office</t>
  </si>
  <si>
    <t>Hospital and health</t>
  </si>
  <si>
    <t>School and daycare</t>
  </si>
  <si>
    <t>Sport and entertainment</t>
  </si>
  <si>
    <t>Hotel and resort</t>
  </si>
  <si>
    <t>Retail and restaurant</t>
  </si>
  <si>
    <t>Art and culture</t>
  </si>
  <si>
    <t>Mixed use</t>
  </si>
  <si>
    <t>Other</t>
  </si>
  <si>
    <t>Minimum</t>
  </si>
  <si>
    <t>Median</t>
  </si>
  <si>
    <t>Maximum</t>
  </si>
  <si>
    <t>kgCO2eq/m²</t>
  </si>
  <si>
    <t>WG</t>
  </si>
  <si>
    <t>NWG</t>
  </si>
  <si>
    <t>kgCO2eq/m²a (50 years)</t>
  </si>
  <si>
    <t>Röck et al -Towards embodied carbon benchmarks for buildings in Europe</t>
  </si>
  <si>
    <t>MFH</t>
  </si>
  <si>
    <t>Büro-, Verwaltungs- oder Amtsgebäude</t>
  </si>
  <si>
    <t>Gebäude für Kultur und Freizeit</t>
  </si>
  <si>
    <t>Handelsgebäude</t>
  </si>
  <si>
    <t>Produktions-, Werkstatt-, Lager- oder Betriebsgebäude</t>
  </si>
  <si>
    <t>Harmonized means</t>
  </si>
  <si>
    <t>A</t>
  </si>
  <si>
    <t>B</t>
  </si>
  <si>
    <t>C</t>
  </si>
  <si>
    <t>D</t>
  </si>
  <si>
    <t>F</t>
  </si>
  <si>
    <t>G</t>
  </si>
  <si>
    <t>E</t>
  </si>
  <si>
    <t xml:space="preserve"> </t>
  </si>
  <si>
    <t>alle NWG</t>
  </si>
  <si>
    <t>alle WG</t>
  </si>
  <si>
    <t>Gebäude für Forschung und Hochschullehre</t>
  </si>
  <si>
    <t>Gebäude für Gesundheit und Pflege</t>
  </si>
  <si>
    <t>Sportgebäude</t>
  </si>
  <si>
    <t>Technikgebäude (Ver- und Entsorgung)</t>
  </si>
  <si>
    <t>Verkehrsgebäude</t>
  </si>
  <si>
    <t>n</t>
  </si>
  <si>
    <t>g</t>
  </si>
  <si>
    <t>hk_geb_BE_short</t>
  </si>
  <si>
    <t>mean</t>
  </si>
  <si>
    <t>median</t>
  </si>
  <si>
    <t>min</t>
  </si>
  <si>
    <t>max</t>
  </si>
  <si>
    <t>full_name</t>
  </si>
  <si>
    <t>BHRC</t>
  </si>
  <si>
    <t>Beherbergungs- oder Unterbringungsgebäude, Gastronomie- oder Verpflegungsgebäude</t>
  </si>
  <si>
    <t>CuLe</t>
  </si>
  <si>
    <t>HC</t>
  </si>
  <si>
    <t>OAGB</t>
  </si>
  <si>
    <t>PWWO</t>
  </si>
  <si>
    <t>RaUT</t>
  </si>
  <si>
    <t>SF</t>
  </si>
  <si>
    <t>Sch</t>
  </si>
  <si>
    <t>Schule, Kindertagesstätte und sonstiges Betreuungsgebäude</t>
  </si>
  <si>
    <t>TU</t>
  </si>
  <si>
    <t>Trade</t>
  </si>
  <si>
    <t>Trans</t>
  </si>
  <si>
    <t>b</t>
  </si>
  <si>
    <t>c</t>
  </si>
  <si>
    <t>d</t>
  </si>
  <si>
    <t>e</t>
  </si>
  <si>
    <t>f</t>
  </si>
  <si>
    <t>a</t>
  </si>
  <si>
    <t xml:space="preserve">GWP B6 in kg CO2eq /m2 * a </t>
  </si>
  <si>
    <t>Gas</t>
  </si>
  <si>
    <t>Büro</t>
  </si>
  <si>
    <t>Mittelschule</t>
  </si>
  <si>
    <t>Hochschule</t>
  </si>
  <si>
    <t>Fachgeschäft</t>
  </si>
  <si>
    <t>Lebensmittelverkauf</t>
  </si>
  <si>
    <t>Restaurant</t>
  </si>
  <si>
    <t>Volksschule</t>
  </si>
  <si>
    <t>Average</t>
  </si>
  <si>
    <t>bldg_use_subtype</t>
  </si>
  <si>
    <t>count</t>
  </si>
  <si>
    <t>min_whisker</t>
  </si>
  <si>
    <t>max_whisker</t>
  </si>
  <si>
    <t>Art &amp; Culture</t>
  </si>
  <si>
    <t>Hospital and Health</t>
  </si>
  <si>
    <t>Hotel &amp; Resort</t>
  </si>
  <si>
    <t>Retail and Restaurant</t>
  </si>
  <si>
    <t>School and Daycare</t>
  </si>
  <si>
    <t>Semi-detached</t>
  </si>
  <si>
    <t>Sport &amp; Entertainment</t>
  </si>
  <si>
    <t>Raw data</t>
  </si>
  <si>
    <t>Grunddaten Gesamtbestand</t>
  </si>
  <si>
    <t>10^6 m²</t>
  </si>
  <si>
    <t>Bilanzmodell: Endenergie Heizung gesamt</t>
  </si>
  <si>
    <t>kWh/(m²a)</t>
  </si>
  <si>
    <t>1979 – 2001</t>
  </si>
  <si>
    <t>2002 – 2025</t>
  </si>
  <si>
    <t>kg/mBGF²</t>
  </si>
  <si>
    <t>kg/mWfl²</t>
  </si>
  <si>
    <t>kg/mAcref²</t>
  </si>
  <si>
    <t>Office, Administrative or Government Buildings</t>
  </si>
  <si>
    <t>Buildings for Research and University Teaching</t>
  </si>
  <si>
    <t>Buildings for Health and Care</t>
  </si>
  <si>
    <t>School, Day Nursery and other Care Buildings</t>
  </si>
  <si>
    <t>Buildings for Culture and Leisure</t>
  </si>
  <si>
    <t>Sports Facilities</t>
  </si>
  <si>
    <t>Hotels, Boarding, Restaurants or Catering</t>
  </si>
  <si>
    <t>Trade Buildings</t>
  </si>
  <si>
    <t>Production, Workshop, Warehouse or Operations</t>
  </si>
  <si>
    <t>Technical and Utility Buildings (supply and disposal)</t>
  </si>
  <si>
    <t>Transport Buildings</t>
  </si>
  <si>
    <t>Single- and two-family houses</t>
  </si>
  <si>
    <t>Multi-family houses</t>
  </si>
  <si>
    <t>residential</t>
  </si>
  <si>
    <t>non-residential</t>
  </si>
  <si>
    <r>
      <t>WLC emissions [kg CO</t>
    </r>
    <r>
      <rPr>
        <b/>
        <vertAlign val="sub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e/(m</t>
    </r>
    <r>
      <rPr>
        <b/>
        <vertAlign val="super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·a)]</t>
    </r>
  </si>
  <si>
    <t>Target values - averaged for new constructions and renovations</t>
  </si>
  <si>
    <t>0 as a theoretical, ideal target</t>
  </si>
  <si>
    <t>Benchmark for operational emissions</t>
  </si>
  <si>
    <t>No target value available in the literature for this building type -&gt; Assumption: similar ambitious value as for schools</t>
  </si>
  <si>
    <t>No target value available in the literature for this building type -&gt; Assumption: similar to office buildings</t>
  </si>
  <si>
    <t>No target value available in the literature for this building type -&gt; Assumption: similar standard value as for schools</t>
  </si>
  <si>
    <t>Interpolation: average of c and e values</t>
  </si>
  <si>
    <t>[1]</t>
  </si>
  <si>
    <t>Stein, B., Loga, T., Müller, A., 2025. Repräsentative Typgebäude als Erweiterung der deutschen Wohngebäudetypologie. Schlussbericht. Zenodo. https://doi.org/10.5281/ZENODO.15482864</t>
  </si>
  <si>
    <t>[2]</t>
  </si>
  <si>
    <t>Hörner, M., Bischof, J., 2022. Building typology of the non-residential building stock in Germany – methodology and first results.</t>
  </si>
  <si>
    <t>Derived from [2] and own calcualtions</t>
  </si>
  <si>
    <t>Derived from [1] and own calculations</t>
  </si>
  <si>
    <t>Interpolation: average of e and g values</t>
  </si>
  <si>
    <t>Derived from [1] and own calculations, under the assumption that the limit value is represented by buildings of the oldest building age class (&lt;1978) and heated with heating oil</t>
  </si>
  <si>
    <t>Literature data</t>
  </si>
  <si>
    <t>Own assumptions due to lack of data</t>
  </si>
  <si>
    <t>Interpolation</t>
  </si>
  <si>
    <t>Legend</t>
  </si>
  <si>
    <t>References</t>
  </si>
  <si>
    <t>Method, references and assumptions</t>
  </si>
  <si>
    <t>Benchmark for embodied emissions</t>
  </si>
  <si>
    <t>Concept</t>
  </si>
  <si>
    <t>Benchmark values</t>
  </si>
  <si>
    <t>GWP Benchmarks</t>
  </si>
  <si>
    <t>Whole Life Cycle Benchmarks</t>
  </si>
  <si>
    <t>[3]</t>
  </si>
  <si>
    <t>Schweizerischer Ingenieur- und Architektenverein (SIA), 2025. SIA 390/1:2025 Klimapfad - Treibhausgasbilanz über den Lebenszyklus von Gebäuden</t>
  </si>
  <si>
    <t>[4]</t>
  </si>
  <si>
    <t>Röck, M., Sørensen, A., Steinmann, J., Lynge, K., Horup, L.H., Tozan, B., Le Den, X., Birgisdottir, H., 2022. Towards embodied carbon benchmarks for buildings in Europe; Data source: https://github.com/mroeck/Embodied-Carbon-of-European-Buildings-Database</t>
  </si>
  <si>
    <t>Ambitious target value from SIA 390 [3], averaged for new constructions and renovations, and harmonized for RSP and gross floor area</t>
  </si>
  <si>
    <t>Ambitious target value for residential buildings from SIA 390 [3]</t>
  </si>
  <si>
    <t>Ambitious target value for office buildings from SIA 390 [3]</t>
  </si>
  <si>
    <t>No target value available in the literature for this building type -&gt; Assumption: Average ambitious target value of office buildings and schools from SIA 390 [3]</t>
  </si>
  <si>
    <t>No target value available in the literature for this building type -&gt; Assumption: Ambitious target value similar to the ones for restaurants from SIA 390 [3]</t>
  </si>
  <si>
    <t>Ambitious target value for schools from SIA 390 [3] (average of 3 types of schools)</t>
  </si>
  <si>
    <t>Ambitious target value for restaurants from SIA 390 [3]</t>
  </si>
  <si>
    <t>Ambitious target value for trade buildings from SIA 390 [3]</t>
  </si>
  <si>
    <t>Standard target value from SIA 390 [3], averaged for new constructions and renovations, and harmonized for RSP and gross floor area</t>
  </si>
  <si>
    <t>Standard target value for residential buildings from SIA 390 [3]</t>
  </si>
  <si>
    <t>Standard target value for office buildings from SIA 390 [3]</t>
  </si>
  <si>
    <t>No target value available in the literature for this building type -&gt; Assumption: Average standard target value of office buildings and schools from SIA 390 [3]</t>
  </si>
  <si>
    <t>No target value available in the literature for this building type -&gt; Assumption: Standard target value similar to the ones for restaurants from SIA 390 [3]</t>
  </si>
  <si>
    <t>Standard target value for schools from SIA 390 [3] (average of 3 types of schools)</t>
  </si>
  <si>
    <t>Standard target value for restaurants from SIA 390 [3]</t>
  </si>
  <si>
    <t>Standard target value for trade buildings from SIA 390 [3]</t>
  </si>
  <si>
    <t>Ambitious target value for residential buildings from SIA 390 [3], averaged for new constructions and renovations, and harmonized for RSP and gross floor area</t>
  </si>
  <si>
    <t>Ambitious target value for office builsings from SIA 390 [3], averaged for new constructions and renovations, and harmonized for RSP and gross floor area</t>
  </si>
  <si>
    <t>No target value available in the literature for this building type -&gt; Assumption: Same ambitious target value as the other non-residential buildings from SIA 390 [3]</t>
  </si>
  <si>
    <t>Ambitious target value from SIA 390 [3] for schools, averaged for new constructions and renovations, and harmonized for RSP and gross floor area</t>
  </si>
  <si>
    <t>Ambitious target value from SIA 390 [3] for restaurants, averaged for new constructions and renovations, and harmonized for RSP and gross floor area</t>
  </si>
  <si>
    <t>Ambitious target value from SIA 390 [3] for trade buildings, averaged for new constructions and renovations, and harmonized for RSP and gross floor area</t>
  </si>
  <si>
    <t>Standard target value for residential buildings from SIA 390 [3], averaged for new constructions and renovations, and harmonized for RSP and gross floor area</t>
  </si>
  <si>
    <t>Standard target value for office builsings from SIA 390 [3], averaged for new constructions and renovations, and harmonized for RSP and gross floor area</t>
  </si>
  <si>
    <t>No target value available in the literature for this building type -&gt; Assumption: Same standard target value as the other non-residential buildings from SIA 390 [3]</t>
  </si>
  <si>
    <t>Standard target value from SIA 390 [3] for schools, averaged for new constructions and renovations, and harmonized for RSP and gross floor area</t>
  </si>
  <si>
    <t>Standard target value from SIA 390 [3] for restaurants, averaged for new constructions and renovations, and harmonized for RSP and gross floor area</t>
  </si>
  <si>
    <t>Standard target value from SIA 390 [3] for trade buildings, averaged for new constructions and renovations, and harmonized for RSP and gross floor area</t>
  </si>
  <si>
    <t>No value available in the study from Röck et al. 2022 [4] for this category -&gt; Assumption: smilar value as for trade buildings -&gt; Similarities between Production buildings and trade buildings: large rooms, similar lighting and equipment</t>
  </si>
  <si>
    <t>No value available in the study from Röck et al. 2022 [4] for this category -&gt; Assumption: Average emissions similar to Production buildings -&gt; Similarities between Production buildings and technical buildings: large rooms, similar lighting</t>
  </si>
  <si>
    <t>No value available in the study from Röck et al. 2022 [4] for this category -&gt; Assumption: the emissions of trade buildings were taken as a reference and doubled, to take into account the higher structural requirements of transport buildings (e.g. for parking garages)</t>
  </si>
  <si>
    <t>few data available</t>
  </si>
  <si>
    <t>Average of the values from the categories "Single Family House", "Row House" an "Semi-Detached Houses" from the study from Röck et al 2022 - "Towards embodied carbon benchmarks for buildings in Europe" [4]</t>
  </si>
  <si>
    <t>Average value from the category "Multi family house" from the study from Röck et al 2022 - "Towards embodied carbon benchmarks for buildings in Europe" [4]</t>
  </si>
  <si>
    <t>Average value from the category "Office" from the study from Röck et al 2022 - "Towards embodied carbon benchmarks for buildings in Europe" [4]</t>
  </si>
  <si>
    <t>No value available in the study from Röck et al. 2022 [4] -&gt; Assumption: Average of the values of "Office" and "School"</t>
  </si>
  <si>
    <t>Average value from the category "Hospital and Health" from the study from Röck et al 2022 - "Towards embodied carbon benchmarks for buildings in Europe" [4]</t>
  </si>
  <si>
    <t>Average value from the category "School and Daycare"  from the study from Röck et al 2022 - "Towards embodied carbon benchmarks for buildings in Europe" [4]</t>
  </si>
  <si>
    <t>Average value from the category "Sport and Entertainment"  from the study from Röck et al 2022 - "Towards embodied carbon benchmarks for buildings in Europe" [4]</t>
  </si>
  <si>
    <t>Average value from the category "Retail and Restaurant"  from the study from Röck et al 2022 - "Towards embodied carbon benchmarks for buildings in Europe" [4]</t>
  </si>
  <si>
    <t>No value available in the study from Röck et al. 2022 [4] for this category -&gt; Assumption: similar average value as for "Trade Buildings -&gt; Similarities between Production buildings and trade buildings: large rooms, similar lighting and equipment</t>
  </si>
  <si>
    <t>No value available in the study from Röck et al. 2022 [4] for this category -&gt; Assumption: Similar average value to "Production buildings" -&gt; Similarities between Production buildings and technical buildings: large rooms, similar lighting</t>
  </si>
  <si>
    <t>No value available in the study from Röck et al. 2022 [4] for this category -&gt; Assumption: the average emissions of "Trade Buildings" were taken as a reference and doubled, to take into account the higher structural requirements of transport buildings (e.g. for parking garages)</t>
  </si>
  <si>
    <t>Average of the maximum values from the categories "Single Family House", "Row House" an "Semi-Detached Houses"from the study from Röck et al 2022 - "Towards embodied carbon benchmarks for buildings in Europe" [4]</t>
  </si>
  <si>
    <t>maximum value from the category "Multi Family House" from the study from Röck et al 2022 - "Towards embodied carbon benchmarks for buildings in Europe" [4]</t>
  </si>
  <si>
    <t>maximum value from the category "Office" from the study from Röck et al 2022 - "Towards embodied carbon benchmarks for buildings in Europe" [4]</t>
  </si>
  <si>
    <t>No value available in the study from Röck et al. 2022 [4] -&gt; Assumption: Average of the maximum values of "Office" and "School"</t>
  </si>
  <si>
    <t>maximum value from the category "Hospital and Health" from the study from Röck et al 2022 - "Towards embodied carbon benchmarks for buildings in Europe" [4]</t>
  </si>
  <si>
    <t>maximum value from the category "School and Daycare" from the study from Röck et al 2022 - "Towards embodied carbon benchmarks for buildings in Europe" [4]</t>
  </si>
  <si>
    <t>maximum value from the category "Sport and Entertainment" from the study from Röck et al 2022 - "Towards embodied carbon benchmarks for buildings in Europe" [4]</t>
  </si>
  <si>
    <t>maximum value from the category "Retail and Restaurant" from the study from Röck et al 2022 - "Towards embodied carbon benchmarks for buildings in Europe" [4]</t>
  </si>
  <si>
    <t>Although the category "Hotel and resort" was analysed in hte study by Röck et al 2022 [4], too few datapoints are available and the average is already very close to the target value -&gt; assumption: value similar to average of "Health and Care"</t>
  </si>
  <si>
    <t>Reference floor area: gross floor area</t>
  </si>
  <si>
    <t>Although the category "Hotel and resort" was analysed in the study by Röck et al 2022 [4], too few datapoints are available -&gt; assumption: value similar to "health and care"</t>
  </si>
  <si>
    <t>Although the category "Art and Culture" was analysed in the study by Röck et al 2022 [4], too few datapoints are available -&gt; assumption: value similar to "School and Daycare"</t>
  </si>
  <si>
    <t>max_without_outliers</t>
  </si>
  <si>
    <t>Ideal long-term target</t>
  </si>
  <si>
    <t>Medium-term target</t>
  </si>
  <si>
    <t>Short-term target</t>
  </si>
  <si>
    <t>Limit value</t>
  </si>
  <si>
    <t>Inter-polated value 1</t>
  </si>
  <si>
    <t>Inter-polated value 2</t>
  </si>
  <si>
    <t>Ref. value</t>
  </si>
  <si>
    <t>embodied</t>
  </si>
  <si>
    <t>operational</t>
  </si>
  <si>
    <t>WLC</t>
  </si>
  <si>
    <t>Reference: Schweizerischer Ingenieur- und Architektenverein (SIA), 2025. SIA 390/1:2025 Klimapfad - Treibhausgasbilanz über den Lebenszyklus von Gebäuden</t>
  </si>
  <si>
    <t>50 years reference study period</t>
  </si>
  <si>
    <t>GHG [kg/mGFA²a]</t>
  </si>
  <si>
    <t>Building type (German)</t>
  </si>
  <si>
    <t>Building type (English, translated)</t>
  </si>
  <si>
    <t>Ambition level</t>
  </si>
  <si>
    <t>Residential</t>
  </si>
  <si>
    <t>Primary school</t>
  </si>
  <si>
    <t>Middle school</t>
  </si>
  <si>
    <t>University / College</t>
  </si>
  <si>
    <t>Store</t>
  </si>
  <si>
    <t xml:space="preserve"> Food retail</t>
  </si>
  <si>
    <t>Basic</t>
  </si>
  <si>
    <t>Ambitious</t>
  </si>
  <si>
    <t>Reference: Hörner, M., Bischof, J., 2022. Building typology of the non-residential building stock in Germany – methodology and first results.</t>
  </si>
  <si>
    <t>SFH</t>
  </si>
  <si>
    <t>all building  age classes</t>
  </si>
  <si>
    <t>Useful heat requirements</t>
  </si>
  <si>
    <t>Basic model 2025</t>
  </si>
  <si>
    <t>Heating</t>
  </si>
  <si>
    <t>DHW</t>
  </si>
  <si>
    <t>auxiliary electricity</t>
  </si>
  <si>
    <t>Useful energy</t>
  </si>
  <si>
    <t>Heating + DHW</t>
  </si>
  <si>
    <t>Final energy heating oil Heating + DHW</t>
  </si>
  <si>
    <t>GHG emissions</t>
  </si>
  <si>
    <t>Annual efficiency oil boiler</t>
  </si>
  <si>
    <t>Basic data residential building stockj</t>
  </si>
  <si>
    <t>Total living floor area</t>
  </si>
  <si>
    <t>Final energy heating + DHW based on living floor area</t>
  </si>
  <si>
    <t>Oil</t>
  </si>
  <si>
    <t>Coal</t>
  </si>
  <si>
    <t>Biomass</t>
  </si>
  <si>
    <t>District heat</t>
  </si>
  <si>
    <t>Electricity</t>
  </si>
  <si>
    <t>Sum final energy</t>
  </si>
  <si>
    <t>kg CO2-eq./(m²a)</t>
  </si>
  <si>
    <t>Heating +DHW</t>
  </si>
  <si>
    <t>Total per living floor area</t>
  </si>
  <si>
    <t>Total per reference area Acref</t>
  </si>
  <si>
    <t>Total per gross floor area</t>
  </si>
  <si>
    <r>
      <t>GHG-emission factors [g CO</t>
    </r>
    <r>
      <rPr>
        <b/>
        <vertAlign val="subscript"/>
        <sz val="10"/>
        <color rgb="FFFFFFFF"/>
        <rFont val="Calibri"/>
        <family val="2"/>
        <scheme val="minor"/>
      </rPr>
      <t>2</t>
    </r>
    <r>
      <rPr>
        <b/>
        <sz val="10"/>
        <color rgb="FFFFFFFF"/>
        <rFont val="Calibri"/>
        <family val="2"/>
        <scheme val="minor"/>
      </rPr>
      <t>-eq./kWh</t>
    </r>
    <r>
      <rPr>
        <b/>
        <vertAlign val="subscript"/>
        <sz val="10"/>
        <color rgb="FFFFFFFF"/>
        <rFont val="Calibri"/>
        <family val="2"/>
        <scheme val="minor"/>
      </rPr>
      <t>final</t>
    </r>
    <r>
      <rPr>
        <b/>
        <sz val="10"/>
        <color rgb="FFFFFFFF"/>
        <rFont val="Calibri"/>
        <family val="2"/>
        <scheme val="minor"/>
      </rPr>
      <t>]</t>
    </r>
  </si>
  <si>
    <t>gas</t>
  </si>
  <si>
    <t>oil</t>
  </si>
  <si>
    <t>coal</t>
  </si>
  <si>
    <t>wood pellets</t>
  </si>
  <si>
    <t>district heat</t>
  </si>
  <si>
    <t>electricity</t>
  </si>
  <si>
    <t xml:space="preserve">until 1978 </t>
  </si>
  <si>
    <t>until 1978</t>
  </si>
  <si>
    <t>Remarks</t>
  </si>
  <si>
    <t>Reference: Röck, M., Sørensen, A., Steinmann, J., Lynge, K., Horup, L.H., Tozan, B., Le Den, X., Birgisdottir, H., 2022. Towards embodied carbon benchmarks for buildings in Europe; Data source: https://github.com/mroeck/Embodied-Carbon-of-European-Buildings-Database</t>
  </si>
  <si>
    <r>
      <t>Operational GHG emissions in 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äq/(m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· a)</t>
    </r>
  </si>
  <si>
    <r>
      <t>Embodied GHG emissions in 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äq/(m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· a)</t>
    </r>
  </si>
  <si>
    <t>Reference: Stein, B., Loga, T., Müller, A., 2025. Repräsentative Typgebäude als Erweiterung der deutschen Wohngebäudetypologie. Schlussbericht. Zenodo. https://doi.org/10.5281/ZENODO.15482864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</si>
</sst>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6" formatCode="#,##0.0"/>
    <numFmt numFmtId="167" formatCode="0;\-0;"/>
    <numFmt numFmtId="168" formatCode="0.0%"/>
  </numFmts>
  <fonts count="4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80808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color rgb="FFFFFFFF"/>
      <name val="Calibri"/>
      <family val="2"/>
      <scheme val="minor"/>
    </font>
    <font>
      <b/>
      <vertAlign val="subscript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8"/>
      <name val="Tahoma"/>
      <family val="2"/>
    </font>
    <font>
      <sz val="7"/>
      <color theme="0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color theme="1"/>
      <name val="Georgia"/>
      <family val="1"/>
    </font>
    <font>
      <sz val="10"/>
      <name val="Georgia"/>
      <family val="1"/>
    </font>
    <font>
      <sz val="9"/>
      <name val="Calibri"/>
      <family val="2"/>
      <scheme val="minor"/>
    </font>
    <font>
      <sz val="11"/>
      <color theme="1"/>
      <name val="Georgia"/>
      <family val="1"/>
    </font>
    <font>
      <b/>
      <sz val="10"/>
      <color theme="1"/>
      <name val="Georgia"/>
      <family val="1"/>
    </font>
    <font>
      <b/>
      <sz val="11"/>
      <color theme="1"/>
      <name val="Georgia"/>
      <family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2B02A"/>
        <bgColor indexed="64"/>
      </patternFill>
    </fill>
    <fill>
      <patternFill patternType="solid">
        <fgColor rgb="FFB7D968"/>
        <bgColor indexed="64"/>
      </patternFill>
    </fill>
    <fill>
      <patternFill patternType="solid">
        <fgColor rgb="FFFCE68A"/>
        <bgColor indexed="64"/>
      </patternFill>
    </fill>
    <fill>
      <patternFill patternType="solid">
        <fgColor rgb="FFFCE04B"/>
        <bgColor indexed="64"/>
      </patternFill>
    </fill>
    <fill>
      <patternFill patternType="solid">
        <fgColor rgb="FFF9BE14"/>
        <bgColor indexed="64"/>
      </patternFill>
    </fill>
    <fill>
      <patternFill patternType="solid">
        <fgColor rgb="FFB38E00"/>
        <bgColor indexed="64"/>
      </patternFill>
    </fill>
    <fill>
      <patternFill patternType="solid">
        <fgColor rgb="FF7B62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0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9" fontId="7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8" borderId="10">
      <alignment horizontal="left" vertical="top" wrapText="1"/>
    </xf>
    <xf numFmtId="0" fontId="20" fillId="10" borderId="10">
      <alignment horizontal="left" vertical="center"/>
    </xf>
    <xf numFmtId="4" fontId="22" fillId="0" borderId="11">
      <alignment vertical="center" shrinkToFit="1"/>
    </xf>
    <xf numFmtId="0" fontId="27" fillId="12" borderId="11">
      <alignment horizontal="center" vertical="center"/>
    </xf>
    <xf numFmtId="0" fontId="27" fillId="0" borderId="0">
      <alignment vertical="top"/>
    </xf>
  </cellStyleXfs>
  <cellXfs count="142">
    <xf numFmtId="0" fontId="0" fillId="0" borderId="0" xfId="0"/>
    <xf numFmtId="2" fontId="0" fillId="0" borderId="1" xfId="0" applyNumberFormat="1" applyBorder="1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0" fontId="2" fillId="0" borderId="0" xfId="0" applyFont="1"/>
    <xf numFmtId="0" fontId="4" fillId="0" borderId="0" xfId="0" applyFont="1"/>
    <xf numFmtId="0" fontId="0" fillId="0" borderId="5" xfId="0" applyBorder="1"/>
    <xf numFmtId="0" fontId="10" fillId="0" borderId="0" xfId="0" applyFont="1"/>
    <xf numFmtId="164" fontId="5" fillId="0" borderId="1" xfId="0" applyNumberFormat="1" applyFont="1" applyBorder="1"/>
    <xf numFmtId="0" fontId="9" fillId="0" borderId="0" xfId="0" applyFont="1"/>
    <xf numFmtId="0" fontId="11" fillId="0" borderId="0" xfId="0" applyFont="1"/>
    <xf numFmtId="0" fontId="0" fillId="0" borderId="0" xfId="0" applyAlignment="1">
      <alignment horizontal="left"/>
    </xf>
    <xf numFmtId="0" fontId="8" fillId="5" borderId="1" xfId="0" quotePrefix="1" applyFont="1" applyFill="1" applyBorder="1" applyAlignment="1">
      <alignment horizontal="left" vertical="top" wrapText="1"/>
    </xf>
    <xf numFmtId="164" fontId="1" fillId="4" borderId="1" xfId="0" applyNumberFormat="1" applyFont="1" applyFill="1" applyBorder="1"/>
    <xf numFmtId="164" fontId="1" fillId="3" borderId="1" xfId="0" applyNumberFormat="1" applyFont="1" applyFill="1" applyBorder="1"/>
    <xf numFmtId="0" fontId="5" fillId="0" borderId="0" xfId="0" applyFont="1"/>
    <xf numFmtId="0" fontId="13" fillId="7" borderId="0" xfId="0" applyFont="1" applyFill="1"/>
    <xf numFmtId="0" fontId="0" fillId="7" borderId="0" xfId="0" applyFill="1"/>
    <xf numFmtId="0" fontId="12" fillId="7" borderId="0" xfId="0" applyFont="1" applyFill="1"/>
    <xf numFmtId="0" fontId="2" fillId="7" borderId="0" xfId="0" applyFont="1" applyFill="1"/>
    <xf numFmtId="0" fontId="8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1" fontId="5" fillId="0" borderId="1" xfId="0" applyNumberFormat="1" applyFont="1" applyBorder="1"/>
    <xf numFmtId="0" fontId="4" fillId="0" borderId="0" xfId="0" quotePrefix="1" applyFont="1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5" fillId="0" borderId="0" xfId="0" applyFont="1" applyAlignment="1">
      <alignment vertical="center"/>
    </xf>
    <xf numFmtId="164" fontId="5" fillId="0" borderId="0" xfId="0" applyNumberFormat="1" applyFont="1"/>
    <xf numFmtId="0" fontId="5" fillId="4" borderId="0" xfId="0" applyFont="1" applyFill="1"/>
    <xf numFmtId="0" fontId="5" fillId="3" borderId="0" xfId="0" applyFont="1" applyFill="1"/>
    <xf numFmtId="0" fontId="5" fillId="5" borderId="0" xfId="0" applyFont="1" applyFill="1"/>
    <xf numFmtId="0" fontId="5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3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34" fillId="0" borderId="0" xfId="0" applyFont="1"/>
    <xf numFmtId="0" fontId="35" fillId="0" borderId="0" xfId="0" applyFont="1" applyAlignment="1">
      <alignment horizontal="left" vertical="top" wrapText="1"/>
    </xf>
    <xf numFmtId="0" fontId="36" fillId="7" borderId="0" xfId="0" applyFont="1" applyFill="1"/>
    <xf numFmtId="0" fontId="38" fillId="7" borderId="0" xfId="0" applyFont="1" applyFill="1"/>
    <xf numFmtId="0" fontId="33" fillId="0" borderId="8" xfId="0" applyFont="1" applyBorder="1" applyAlignment="1">
      <alignment wrapText="1"/>
    </xf>
    <xf numFmtId="0" fontId="38" fillId="7" borderId="6" xfId="0" applyFont="1" applyFill="1" applyBorder="1" applyAlignment="1">
      <alignment horizontal="right" vertical="center" wrapText="1"/>
    </xf>
    <xf numFmtId="0" fontId="37" fillId="18" borderId="3" xfId="0" applyFont="1" applyFill="1" applyBorder="1" applyAlignment="1">
      <alignment horizontal="center" vertical="top"/>
    </xf>
    <xf numFmtId="0" fontId="37" fillId="18" borderId="4" xfId="0" applyFont="1" applyFill="1" applyBorder="1" applyAlignment="1">
      <alignment horizontal="center" vertical="top"/>
    </xf>
    <xf numFmtId="0" fontId="37" fillId="18" borderId="2" xfId="0" applyFont="1" applyFill="1" applyBorder="1" applyAlignment="1">
      <alignment horizontal="center" vertical="top"/>
    </xf>
    <xf numFmtId="0" fontId="38" fillId="19" borderId="3" xfId="0" applyFont="1" applyFill="1" applyBorder="1" applyAlignment="1">
      <alignment horizontal="center" vertical="top"/>
    </xf>
    <xf numFmtId="0" fontId="38" fillId="19" borderId="4" xfId="0" applyFont="1" applyFill="1" applyBorder="1" applyAlignment="1">
      <alignment horizontal="center" vertical="top"/>
    </xf>
    <xf numFmtId="0" fontId="38" fillId="19" borderId="2" xfId="0" applyFont="1" applyFill="1" applyBorder="1" applyAlignment="1">
      <alignment horizontal="center" vertical="top"/>
    </xf>
    <xf numFmtId="0" fontId="37" fillId="0" borderId="7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13" borderId="3" xfId="0" applyFont="1" applyFill="1" applyBorder="1" applyAlignment="1">
      <alignment horizontal="center" vertical="top"/>
    </xf>
    <xf numFmtId="0" fontId="37" fillId="13" borderId="4" xfId="0" applyFont="1" applyFill="1" applyBorder="1" applyAlignment="1">
      <alignment horizontal="center" vertical="top"/>
    </xf>
    <xf numFmtId="0" fontId="37" fillId="13" borderId="2" xfId="0" applyFont="1" applyFill="1" applyBorder="1" applyAlignment="1">
      <alignment horizontal="center" vertical="top"/>
    </xf>
    <xf numFmtId="0" fontId="37" fillId="14" borderId="3" xfId="0" applyFont="1" applyFill="1" applyBorder="1" applyAlignment="1">
      <alignment horizontal="center" vertical="top"/>
    </xf>
    <xf numFmtId="0" fontId="37" fillId="14" borderId="4" xfId="0" applyFont="1" applyFill="1" applyBorder="1" applyAlignment="1">
      <alignment horizontal="center" vertical="top"/>
    </xf>
    <xf numFmtId="0" fontId="37" fillId="14" borderId="2" xfId="0" applyFont="1" applyFill="1" applyBorder="1" applyAlignment="1">
      <alignment horizontal="center" vertical="top"/>
    </xf>
    <xf numFmtId="0" fontId="37" fillId="15" borderId="3" xfId="0" applyFont="1" applyFill="1" applyBorder="1" applyAlignment="1">
      <alignment horizontal="center" vertical="top"/>
    </xf>
    <xf numFmtId="0" fontId="37" fillId="15" borderId="4" xfId="0" applyFont="1" applyFill="1" applyBorder="1" applyAlignment="1">
      <alignment horizontal="center" vertical="top"/>
    </xf>
    <xf numFmtId="0" fontId="37" fillId="15" borderId="2" xfId="0" applyFont="1" applyFill="1" applyBorder="1" applyAlignment="1">
      <alignment horizontal="center" vertical="top"/>
    </xf>
    <xf numFmtId="0" fontId="37" fillId="16" borderId="3" xfId="0" applyFont="1" applyFill="1" applyBorder="1" applyAlignment="1">
      <alignment horizontal="center" vertical="top"/>
    </xf>
    <xf numFmtId="0" fontId="37" fillId="16" borderId="4" xfId="0" applyFont="1" applyFill="1" applyBorder="1" applyAlignment="1">
      <alignment horizontal="center" vertical="top"/>
    </xf>
    <xf numFmtId="0" fontId="37" fillId="16" borderId="2" xfId="0" applyFont="1" applyFill="1" applyBorder="1" applyAlignment="1">
      <alignment horizontal="center" vertical="top"/>
    </xf>
    <xf numFmtId="0" fontId="37" fillId="17" borderId="3" xfId="0" applyFont="1" applyFill="1" applyBorder="1" applyAlignment="1">
      <alignment horizontal="center" vertical="top"/>
    </xf>
    <xf numFmtId="0" fontId="37" fillId="17" borderId="4" xfId="0" applyFont="1" applyFill="1" applyBorder="1" applyAlignment="1">
      <alignment horizontal="center" vertical="top"/>
    </xf>
    <xf numFmtId="0" fontId="37" fillId="17" borderId="2" xfId="0" applyFont="1" applyFill="1" applyBorder="1" applyAlignment="1">
      <alignment horizontal="center" vertical="top"/>
    </xf>
    <xf numFmtId="0" fontId="0" fillId="7" borderId="0" xfId="0" applyFill="1" applyBorder="1"/>
    <xf numFmtId="0" fontId="2" fillId="7" borderId="0" xfId="0" applyFont="1" applyFill="1" applyBorder="1"/>
    <xf numFmtId="0" fontId="0" fillId="7" borderId="0" xfId="0" quotePrefix="1" applyFill="1" applyBorder="1"/>
    <xf numFmtId="1" fontId="5" fillId="0" borderId="1" xfId="0" applyNumberFormat="1" applyFont="1" applyFill="1" applyBorder="1"/>
    <xf numFmtId="0" fontId="31" fillId="0" borderId="0" xfId="5" applyFont="1" applyFill="1" applyBorder="1" applyAlignment="1">
      <alignment horizontal="center" vertical="center" wrapText="1"/>
    </xf>
    <xf numFmtId="0" fontId="32" fillId="2" borderId="1" xfId="5" applyFont="1" applyFill="1" applyBorder="1" applyAlignment="1">
      <alignment horizontal="center" vertical="center" shrinkToFit="1"/>
    </xf>
    <xf numFmtId="0" fontId="32" fillId="2" borderId="1" xfId="0" applyFont="1" applyFill="1" applyBorder="1"/>
    <xf numFmtId="164" fontId="0" fillId="6" borderId="1" xfId="0" applyNumberFormat="1" applyFill="1" applyBorder="1"/>
    <xf numFmtId="0" fontId="21" fillId="8" borderId="1" xfId="5" applyFont="1" applyBorder="1" applyAlignment="1">
      <alignment horizontal="left" vertical="center"/>
    </xf>
    <xf numFmtId="0" fontId="19" fillId="9" borderId="1" xfId="0" applyFont="1" applyFill="1" applyBorder="1" applyAlignment="1">
      <alignment horizontal="left" vertical="center" shrinkToFit="1"/>
    </xf>
    <xf numFmtId="0" fontId="19" fillId="9" borderId="1" xfId="0" applyFont="1" applyFill="1" applyBorder="1" applyAlignment="1">
      <alignment horizontal="center" vertical="center" shrinkToFit="1"/>
    </xf>
    <xf numFmtId="0" fontId="21" fillId="8" borderId="1" xfId="5" applyFont="1" applyBorder="1" applyAlignment="1">
      <alignment horizontal="left" vertical="center" wrapText="1"/>
    </xf>
    <xf numFmtId="0" fontId="21" fillId="8" borderId="1" xfId="5" applyFont="1" applyBorder="1" applyAlignment="1">
      <alignment horizontal="left" vertical="center" wrapText="1" shrinkToFit="1"/>
    </xf>
    <xf numFmtId="0" fontId="19" fillId="9" borderId="7" xfId="0" applyFont="1" applyFill="1" applyBorder="1" applyAlignment="1">
      <alignment horizontal="center" vertical="center" shrinkToFit="1"/>
    </xf>
    <xf numFmtId="0" fontId="17" fillId="8" borderId="1" xfId="5" applyBorder="1" applyAlignment="1">
      <alignment horizontal="center" vertical="center" shrinkToFit="1"/>
    </xf>
    <xf numFmtId="0" fontId="18" fillId="8" borderId="1" xfId="5" applyFont="1" applyBorder="1" applyAlignment="1">
      <alignment horizontal="center" vertical="center" wrapText="1" shrinkToFit="1"/>
    </xf>
    <xf numFmtId="0" fontId="39" fillId="8" borderId="1" xfId="5" applyFont="1" applyBorder="1" applyAlignment="1">
      <alignment horizontal="left" vertical="center" wrapText="1" shrinkToFit="1"/>
    </xf>
    <xf numFmtId="0" fontId="17" fillId="8" borderId="1" xfId="5" applyFont="1" applyBorder="1" applyAlignment="1">
      <alignment horizontal="left" vertical="center" wrapText="1" shrinkToFit="1"/>
    </xf>
    <xf numFmtId="0" fontId="17" fillId="8" borderId="1" xfId="5" applyFont="1" applyBorder="1" applyAlignment="1">
      <alignment horizontal="left" vertical="center" wrapText="1"/>
    </xf>
    <xf numFmtId="0" fontId="21" fillId="0" borderId="0" xfId="0" applyFont="1"/>
    <xf numFmtId="2" fontId="21" fillId="0" borderId="1" xfId="0" applyNumberFormat="1" applyFont="1" applyBorder="1"/>
    <xf numFmtId="164" fontId="21" fillId="0" borderId="1" xfId="0" applyNumberFormat="1" applyFont="1" applyBorder="1"/>
    <xf numFmtId="164" fontId="21" fillId="6" borderId="1" xfId="0" applyNumberFormat="1" applyFont="1" applyFill="1" applyBorder="1"/>
    <xf numFmtId="0" fontId="21" fillId="0" borderId="1" xfId="0" applyFont="1" applyBorder="1"/>
    <xf numFmtId="0" fontId="19" fillId="10" borderId="1" xfId="6" applyFont="1" applyBorder="1">
      <alignment horizontal="left" vertical="center"/>
    </xf>
    <xf numFmtId="0" fontId="19" fillId="10" borderId="7" xfId="6" applyFont="1" applyBorder="1">
      <alignment horizontal="left" vertical="center"/>
    </xf>
    <xf numFmtId="0" fontId="19" fillId="10" borderId="1" xfId="6" applyFont="1" applyBorder="1">
      <alignment horizontal="left" vertical="center"/>
    </xf>
    <xf numFmtId="166" fontId="39" fillId="0" borderId="1" xfId="7" applyNumberFormat="1" applyFont="1" applyBorder="1">
      <alignment vertical="center" shrinkToFit="1"/>
    </xf>
    <xf numFmtId="166" fontId="39" fillId="0" borderId="1" xfId="4" applyNumberFormat="1" applyFont="1" applyBorder="1" applyAlignment="1">
      <alignment vertical="center" shrinkToFit="1"/>
    </xf>
    <xf numFmtId="166" fontId="40" fillId="0" borderId="1" xfId="7" applyNumberFormat="1" applyFont="1" applyBorder="1">
      <alignment vertical="center" shrinkToFit="1"/>
    </xf>
    <xf numFmtId="0" fontId="21" fillId="0" borderId="1" xfId="0" applyFont="1" applyBorder="1" applyAlignment="1">
      <alignment wrapText="1"/>
    </xf>
    <xf numFmtId="0" fontId="21" fillId="11" borderId="1" xfId="0" applyFont="1" applyFill="1" applyBorder="1" applyAlignment="1">
      <alignment vertical="center"/>
    </xf>
    <xf numFmtId="0" fontId="23" fillId="11" borderId="1" xfId="0" applyFont="1" applyFill="1" applyBorder="1" applyAlignment="1">
      <alignment vertical="center" wrapText="1"/>
    </xf>
    <xf numFmtId="0" fontId="25" fillId="8" borderId="1" xfId="0" applyFont="1" applyFill="1" applyBorder="1" applyAlignment="1">
      <alignment horizontal="left" vertical="center" indent="1"/>
    </xf>
    <xf numFmtId="0" fontId="21" fillId="0" borderId="1" xfId="0" applyFont="1" applyBorder="1" applyAlignment="1">
      <alignment horizontal="center" vertical="center"/>
    </xf>
    <xf numFmtId="0" fontId="32" fillId="2" borderId="3" xfId="5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26" fillId="9" borderId="1" xfId="5" applyFont="1" applyFill="1" applyBorder="1" applyAlignment="1">
      <alignment horizontal="left" vertical="center"/>
    </xf>
    <xf numFmtId="167" fontId="28" fillId="9" borderId="1" xfId="8" applyNumberFormat="1" applyFont="1" applyFill="1" applyBorder="1" applyAlignment="1">
      <alignment horizontal="right" vertical="center" shrinkToFit="1"/>
    </xf>
    <xf numFmtId="0" fontId="29" fillId="8" borderId="1" xfId="9" applyFont="1" applyFill="1" applyBorder="1" applyAlignment="1">
      <alignment horizontal="center" vertical="center"/>
    </xf>
    <xf numFmtId="168" fontId="30" fillId="8" borderId="1" xfId="4" applyNumberFormat="1" applyFont="1" applyFill="1" applyBorder="1" applyAlignment="1">
      <alignment vertical="center" shrinkToFit="1"/>
    </xf>
    <xf numFmtId="0" fontId="31" fillId="8" borderId="1" xfId="5" applyFont="1" applyBorder="1" applyAlignment="1">
      <alignment horizontal="center" vertical="center" wrapText="1"/>
    </xf>
    <xf numFmtId="0" fontId="21" fillId="2" borderId="7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8" fillId="0" borderId="4" xfId="0" applyFont="1" applyFill="1" applyBorder="1" applyAlignment="1">
      <alignment horizontal="left" vertical="top" wrapText="1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textRotation="90"/>
    </xf>
    <xf numFmtId="0" fontId="3" fillId="2" borderId="4" xfId="0" applyFont="1" applyFill="1" applyBorder="1" applyAlignment="1">
      <alignment horizontal="center" vertical="center" textRotation="90"/>
    </xf>
    <xf numFmtId="0" fontId="3" fillId="2" borderId="2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wrapText="1"/>
    </xf>
  </cellXfs>
  <cellStyles count="10">
    <cellStyle name="Formel" xfId="8" xr:uid="{C8B2C0F3-00AA-413E-9F77-25A9EDA90F69}"/>
    <cellStyle name="Formula" xfId="7" xr:uid="{09D70823-7AAD-4430-A4AB-59E1E121AD6F}"/>
    <cellStyle name="Link 2" xfId="1" xr:uid="{0D365A77-1058-4423-BD25-BA1656FBBCA4}"/>
    <cellStyle name="Normal" xfId="0" builtinId="0"/>
    <cellStyle name="Normal 2" xfId="2" xr:uid="{15894088-1A48-476D-9AF1-76E5BA5F5777}"/>
    <cellStyle name="Normal_STANDARD" xfId="9" xr:uid="{D2E41CE1-D6E4-404C-B1A6-885018397EFC}"/>
    <cellStyle name="Per cent" xfId="4" builtinId="5"/>
    <cellStyle name="Per cent 2" xfId="3" xr:uid="{3004E1A9-7BEB-4F71-BE27-3A28A70F55B7}"/>
    <cellStyle name="TableHead" xfId="5" xr:uid="{63CCCA42-AFE6-420F-A66D-C09CC1F65258}"/>
    <cellStyle name="TableSeparator" xfId="6" xr:uid="{47A730AB-7D56-40C9-93CF-D97B16143250}"/>
  </cellStyles>
  <dxfs count="0"/>
  <tableStyles count="0" defaultTableStyle="TableStyleMedium2" defaultPivotStyle="PivotStyleLight16"/>
  <colors>
    <mruColors>
      <color rgb="FF7B6200"/>
      <color rgb="FFB38E00"/>
      <color rgb="FFF9BE14"/>
      <color rgb="FFFCE04B"/>
      <color rgb="FFFCE68A"/>
      <color rgb="FFB7D968"/>
      <color rgb="FF82B02A"/>
      <color rgb="FF695700"/>
      <color rgb="FFAE8E00"/>
      <color rgb="FFFFC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6799583738346295"/>
          <c:y val="4.711608736138781E-2"/>
          <c:w val="0.50660952878337784"/>
          <c:h val="0.8535192209690534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F9F-4736-BE01-7CB5D9D77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8137512"/>
        <c:axId val="638137184"/>
      </c:barChart>
      <c:catAx>
        <c:axId val="638137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8137184"/>
        <c:crosses val="autoZero"/>
        <c:auto val="1"/>
        <c:lblAlgn val="ctr"/>
        <c:lblOffset val="100"/>
        <c:noMultiLvlLbl val="0"/>
      </c:catAx>
      <c:valAx>
        <c:axId val="63813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8137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</xdr:row>
      <xdr:rowOff>87630</xdr:rowOff>
    </xdr:from>
    <xdr:to>
      <xdr:col>7</xdr:col>
      <xdr:colOff>1681</xdr:colOff>
      <xdr:row>4</xdr:row>
      <xdr:rowOff>97268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78C631-EC3C-49F7-1E5F-4544CE55F3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08" t="-1585"/>
        <a:stretch>
          <a:fillRect/>
        </a:stretch>
      </xdr:blipFill>
      <xdr:spPr bwMode="auto">
        <a:xfrm>
          <a:off x="85725" y="611505"/>
          <a:ext cx="7059706" cy="367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308741</xdr:colOff>
      <xdr:row>0</xdr:row>
      <xdr:rowOff>151085</xdr:rowOff>
    </xdr:from>
    <xdr:to>
      <xdr:col>10</xdr:col>
      <xdr:colOff>205721</xdr:colOff>
      <xdr:row>16</xdr:row>
      <xdr:rowOff>169395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7B4C38BE-EA6A-47C4-A87A-5EA4458CDC4F}"/>
            </a:ext>
          </a:extLst>
        </xdr:cNvPr>
        <xdr:cNvGrpSpPr/>
      </xdr:nvGrpSpPr>
      <xdr:grpSpPr>
        <a:xfrm>
          <a:off x="310646" y="151085"/>
          <a:ext cx="7781644" cy="2965017"/>
          <a:chOff x="12479974" y="2632412"/>
          <a:chExt cx="7793348" cy="2988972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C6596A19-1D28-4A0B-A49B-E832A7ED6709}"/>
              </a:ext>
            </a:extLst>
          </xdr:cNvPr>
          <xdr:cNvGraphicFramePr/>
        </xdr:nvGraphicFramePr>
        <xdr:xfrm>
          <a:off x="12479974" y="2632412"/>
          <a:ext cx="7793348" cy="29889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Gruppieren 3">
            <a:extLst>
              <a:ext uri="{FF2B5EF4-FFF2-40B4-BE49-F238E27FC236}">
                <a16:creationId xmlns:a16="http://schemas.microsoft.com/office/drawing/2014/main" id="{1EB1F74B-F1E4-4A60-A8A4-2D58611C9896}"/>
              </a:ext>
            </a:extLst>
          </xdr:cNvPr>
          <xdr:cNvGrpSpPr/>
        </xdr:nvGrpSpPr>
        <xdr:grpSpPr>
          <a:xfrm rot="5400000">
            <a:off x="16869210" y="2536549"/>
            <a:ext cx="2266085" cy="3028950"/>
            <a:chOff x="-1743076" y="-363818"/>
            <a:chExt cx="2255007" cy="3196439"/>
          </a:xfrm>
        </xdr:grpSpPr>
        <xdr:sp macro="" textlink="">
          <xdr:nvSpPr>
            <xdr:cNvPr id="5" name="Rechteck: abgerundete Ecken 4">
              <a:extLst>
                <a:ext uri="{FF2B5EF4-FFF2-40B4-BE49-F238E27FC236}">
                  <a16:creationId xmlns:a16="http://schemas.microsoft.com/office/drawing/2014/main" id="{D598EF25-CDE3-4AE4-9D4F-19863CD4486A}"/>
                </a:ext>
              </a:extLst>
            </xdr:cNvPr>
            <xdr:cNvSpPr/>
          </xdr:nvSpPr>
          <xdr:spPr>
            <a:xfrm rot="16200000">
              <a:off x="-695371" y="1625318"/>
              <a:ext cx="2266491" cy="148113"/>
            </a:xfrm>
            <a:prstGeom prst="roundRect">
              <a:avLst/>
            </a:prstGeom>
            <a:gradFill flip="none" rotWithShape="1">
              <a:gsLst>
                <a:gs pos="33000">
                  <a:schemeClr val="accent1">
                    <a:lumMod val="40000"/>
                    <a:lumOff val="60000"/>
                  </a:schemeClr>
                </a:gs>
                <a:gs pos="16000">
                  <a:schemeClr val="accent3">
                    <a:lumMod val="40000"/>
                    <a:lumOff val="60000"/>
                  </a:schemeClr>
                </a:gs>
                <a:gs pos="0">
                  <a:schemeClr val="accent3">
                    <a:alpha val="0"/>
                  </a:schemeClr>
                </a:gs>
                <a:gs pos="50000">
                  <a:schemeClr val="accent1"/>
                </a:gs>
                <a:gs pos="68000">
                  <a:srgbClr val="FFB601"/>
                </a:gs>
                <a:gs pos="100000">
                  <a:schemeClr val="bg2">
                    <a:lumMod val="25000"/>
                    <a:alpha val="0"/>
                  </a:schemeClr>
                </a:gs>
                <a:gs pos="85000">
                  <a:schemeClr val="bg2">
                    <a:lumMod val="50000"/>
                  </a:schemeClr>
                </a:gs>
              </a:gsLst>
              <a:lin ang="0" scaled="1"/>
              <a:tileRect/>
            </a:gradFill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de-DE" sz="1800"/>
            </a:p>
          </xdr:txBody>
        </xdr:sp>
        <xdr:sp macro="" textlink="">
          <xdr:nvSpPr>
            <xdr:cNvPr id="6" name="Rechteck: abgerundete Ecken 5">
              <a:extLst>
                <a:ext uri="{FF2B5EF4-FFF2-40B4-BE49-F238E27FC236}">
                  <a16:creationId xmlns:a16="http://schemas.microsoft.com/office/drawing/2014/main" id="{2FC4BDBD-C29F-4589-8DFB-D99D8B3CCA5E}"/>
                </a:ext>
              </a:extLst>
            </xdr:cNvPr>
            <xdr:cNvSpPr/>
          </xdr:nvSpPr>
          <xdr:spPr>
            <a:xfrm rot="16200000">
              <a:off x="-1200097" y="1422149"/>
              <a:ext cx="2434820" cy="138595"/>
            </a:xfrm>
            <a:prstGeom prst="roundRect">
              <a:avLst/>
            </a:prstGeom>
            <a:gradFill flip="none" rotWithShape="1">
              <a:gsLst>
                <a:gs pos="33000">
                  <a:schemeClr val="accent1">
                    <a:lumMod val="40000"/>
                    <a:lumOff val="60000"/>
                  </a:schemeClr>
                </a:gs>
                <a:gs pos="16000">
                  <a:schemeClr val="accent3">
                    <a:lumMod val="40000"/>
                    <a:lumOff val="60000"/>
                  </a:schemeClr>
                </a:gs>
                <a:gs pos="0">
                  <a:schemeClr val="accent3">
                    <a:alpha val="0"/>
                  </a:schemeClr>
                </a:gs>
                <a:gs pos="50000">
                  <a:schemeClr val="accent1"/>
                </a:gs>
                <a:gs pos="68000">
                  <a:srgbClr val="FFB601"/>
                </a:gs>
                <a:gs pos="100000">
                  <a:schemeClr val="bg2">
                    <a:lumMod val="25000"/>
                    <a:alpha val="0"/>
                  </a:schemeClr>
                </a:gs>
                <a:gs pos="85000">
                  <a:schemeClr val="bg2">
                    <a:lumMod val="50000"/>
                  </a:schemeClr>
                </a:gs>
              </a:gsLst>
              <a:lin ang="0" scaled="1"/>
              <a:tileRect/>
            </a:gradFill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de-DE" sz="1800"/>
            </a:p>
          </xdr:txBody>
        </xdr:sp>
        <xdr:sp macro="" textlink="">
          <xdr:nvSpPr>
            <xdr:cNvPr id="7" name="Rechteck: abgerundete Ecken 6">
              <a:extLst>
                <a:ext uri="{FF2B5EF4-FFF2-40B4-BE49-F238E27FC236}">
                  <a16:creationId xmlns:a16="http://schemas.microsoft.com/office/drawing/2014/main" id="{38A02592-0405-4219-A38B-C492030A8025}"/>
                </a:ext>
              </a:extLst>
            </xdr:cNvPr>
            <xdr:cNvSpPr/>
          </xdr:nvSpPr>
          <xdr:spPr>
            <a:xfrm rot="16200000">
              <a:off x="-1996746" y="1165106"/>
              <a:ext cx="3196439" cy="138592"/>
            </a:xfrm>
            <a:prstGeom prst="roundRect">
              <a:avLst/>
            </a:prstGeom>
            <a:gradFill flip="none" rotWithShape="1">
              <a:gsLst>
                <a:gs pos="33000">
                  <a:schemeClr val="accent1">
                    <a:lumMod val="40000"/>
                    <a:lumOff val="60000"/>
                  </a:schemeClr>
                </a:gs>
                <a:gs pos="16000">
                  <a:schemeClr val="accent3">
                    <a:lumMod val="40000"/>
                    <a:lumOff val="60000"/>
                  </a:schemeClr>
                </a:gs>
                <a:gs pos="0">
                  <a:schemeClr val="accent3">
                    <a:alpha val="0"/>
                  </a:schemeClr>
                </a:gs>
                <a:gs pos="50000">
                  <a:schemeClr val="accent1"/>
                </a:gs>
                <a:gs pos="68000">
                  <a:srgbClr val="FFB601"/>
                </a:gs>
                <a:gs pos="100000">
                  <a:schemeClr val="bg2">
                    <a:lumMod val="25000"/>
                    <a:alpha val="0"/>
                  </a:schemeClr>
                </a:gs>
                <a:gs pos="85000">
                  <a:schemeClr val="bg2">
                    <a:lumMod val="50000"/>
                  </a:schemeClr>
                </a:gs>
              </a:gsLst>
              <a:lin ang="0" scaled="1"/>
              <a:tileRect/>
            </a:gradFill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de-DE" sz="1800"/>
            </a:p>
          </xdr:txBody>
        </xdr:sp>
        <xdr:sp macro="" textlink="">
          <xdr:nvSpPr>
            <xdr:cNvPr id="8" name="Rechteck: abgerundete Ecken 7">
              <a:extLst>
                <a:ext uri="{FF2B5EF4-FFF2-40B4-BE49-F238E27FC236}">
                  <a16:creationId xmlns:a16="http://schemas.microsoft.com/office/drawing/2014/main" id="{4916756C-DBFC-4DEB-9FD5-7B743A2DA23B}"/>
                </a:ext>
              </a:extLst>
            </xdr:cNvPr>
            <xdr:cNvSpPr/>
          </xdr:nvSpPr>
          <xdr:spPr>
            <a:xfrm rot="16200000">
              <a:off x="-1907953" y="1702995"/>
              <a:ext cx="2111132" cy="148115"/>
            </a:xfrm>
            <a:prstGeom prst="roundRect">
              <a:avLst/>
            </a:prstGeom>
            <a:gradFill flip="none" rotWithShape="1">
              <a:gsLst>
                <a:gs pos="33000">
                  <a:schemeClr val="accent1">
                    <a:lumMod val="40000"/>
                    <a:lumOff val="60000"/>
                  </a:schemeClr>
                </a:gs>
                <a:gs pos="16000">
                  <a:schemeClr val="accent3">
                    <a:lumMod val="40000"/>
                    <a:lumOff val="60000"/>
                  </a:schemeClr>
                </a:gs>
                <a:gs pos="0">
                  <a:schemeClr val="accent3">
                    <a:alpha val="0"/>
                  </a:schemeClr>
                </a:gs>
                <a:gs pos="50000">
                  <a:schemeClr val="accent1"/>
                </a:gs>
                <a:gs pos="68000">
                  <a:srgbClr val="FFB601"/>
                </a:gs>
                <a:gs pos="100000">
                  <a:schemeClr val="bg2">
                    <a:lumMod val="25000"/>
                    <a:alpha val="0"/>
                  </a:schemeClr>
                </a:gs>
                <a:gs pos="85000">
                  <a:schemeClr val="bg2">
                    <a:lumMod val="50000"/>
                  </a:schemeClr>
                </a:gs>
              </a:gsLst>
              <a:lin ang="0" scaled="1"/>
              <a:tileRect/>
            </a:gradFill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de-DE" sz="1800"/>
            </a:p>
          </xdr:txBody>
        </xdr:sp>
        <xdr:sp macro="" textlink="">
          <xdr:nvSpPr>
            <xdr:cNvPr id="9" name="Rechteck: abgerundete Ecken 8">
              <a:extLst>
                <a:ext uri="{FF2B5EF4-FFF2-40B4-BE49-F238E27FC236}">
                  <a16:creationId xmlns:a16="http://schemas.microsoft.com/office/drawing/2014/main" id="{B4EC3585-FB48-410F-ADEE-D88517840235}"/>
                </a:ext>
              </a:extLst>
            </xdr:cNvPr>
            <xdr:cNvSpPr/>
          </xdr:nvSpPr>
          <xdr:spPr>
            <a:xfrm rot="16200000">
              <a:off x="-2121897" y="1603034"/>
              <a:ext cx="1758885" cy="148113"/>
            </a:xfrm>
            <a:prstGeom prst="roundRect">
              <a:avLst/>
            </a:prstGeom>
            <a:gradFill flip="none" rotWithShape="1">
              <a:gsLst>
                <a:gs pos="33000">
                  <a:schemeClr val="accent1">
                    <a:lumMod val="40000"/>
                    <a:lumOff val="60000"/>
                  </a:schemeClr>
                </a:gs>
                <a:gs pos="16000">
                  <a:schemeClr val="accent3">
                    <a:lumMod val="40000"/>
                    <a:lumOff val="60000"/>
                  </a:schemeClr>
                </a:gs>
                <a:gs pos="0">
                  <a:schemeClr val="accent3">
                    <a:alpha val="0"/>
                  </a:schemeClr>
                </a:gs>
                <a:gs pos="50000">
                  <a:schemeClr val="accent1"/>
                </a:gs>
                <a:gs pos="68000">
                  <a:srgbClr val="FFB601"/>
                </a:gs>
                <a:gs pos="100000">
                  <a:schemeClr val="bg2">
                    <a:lumMod val="25000"/>
                    <a:alpha val="0"/>
                  </a:schemeClr>
                </a:gs>
                <a:gs pos="85000">
                  <a:schemeClr val="bg2">
                    <a:lumMod val="50000"/>
                  </a:schemeClr>
                </a:gs>
              </a:gsLst>
              <a:lin ang="0" scaled="1"/>
              <a:tileRect/>
            </a:gradFill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de-DE" sz="1800"/>
            </a:p>
          </xdr:txBody>
        </xdr:sp>
        <xdr:sp macro="" textlink="">
          <xdr:nvSpPr>
            <xdr:cNvPr id="10" name="Rechteck: abgerundete Ecken 9">
              <a:extLst>
                <a:ext uri="{FF2B5EF4-FFF2-40B4-BE49-F238E27FC236}">
                  <a16:creationId xmlns:a16="http://schemas.microsoft.com/office/drawing/2014/main" id="{B56DF95B-77DC-44E4-B304-6F6FBB97C06F}"/>
                </a:ext>
              </a:extLst>
            </xdr:cNvPr>
            <xdr:cNvSpPr/>
          </xdr:nvSpPr>
          <xdr:spPr>
            <a:xfrm rot="16200000">
              <a:off x="-2829310" y="1436433"/>
              <a:ext cx="2330097" cy="157629"/>
            </a:xfrm>
            <a:prstGeom prst="roundRect">
              <a:avLst/>
            </a:prstGeom>
            <a:gradFill flip="none" rotWithShape="1">
              <a:gsLst>
                <a:gs pos="33000">
                  <a:schemeClr val="accent1">
                    <a:lumMod val="40000"/>
                    <a:lumOff val="60000"/>
                  </a:schemeClr>
                </a:gs>
                <a:gs pos="16000">
                  <a:schemeClr val="accent3">
                    <a:lumMod val="40000"/>
                    <a:lumOff val="60000"/>
                  </a:schemeClr>
                </a:gs>
                <a:gs pos="0">
                  <a:schemeClr val="accent3">
                    <a:alpha val="0"/>
                  </a:schemeClr>
                </a:gs>
                <a:gs pos="50000">
                  <a:schemeClr val="accent1"/>
                </a:gs>
                <a:gs pos="68000">
                  <a:srgbClr val="FFB601"/>
                </a:gs>
                <a:gs pos="100000">
                  <a:schemeClr val="bg2">
                    <a:lumMod val="25000"/>
                    <a:alpha val="0"/>
                  </a:schemeClr>
                </a:gs>
                <a:gs pos="85000">
                  <a:schemeClr val="bg2">
                    <a:lumMod val="50000"/>
                  </a:schemeClr>
                </a:gs>
              </a:gsLst>
              <a:lin ang="0" scaled="1"/>
              <a:tileRect/>
            </a:gradFill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de-DE" sz="1800"/>
            </a:p>
          </xdr:txBody>
        </xdr:sp>
      </xdr:grp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uillaume Behem" id="{B163D503-688F-43A0-83B2-955DD70FCA75}" userId="S::guillaume.behem@student.kuleuven.be::0cf7add3-2604-46b4-b87c-3049e6e88a98" providerId="AD"/>
</personList>
</file>

<file path=xl/theme/theme1.xml><?xml version="1.0" encoding="utf-8"?>
<a:theme xmlns:a="http://schemas.openxmlformats.org/drawingml/2006/main" name="Office Theme">
  <a:themeElements>
    <a:clrScheme name="Benutzerdefiniert 1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FFD900"/>
      </a:accent1>
      <a:accent2>
        <a:srgbClr val="C3CB13"/>
      </a:accent2>
      <a:accent3>
        <a:srgbClr val="86BC25"/>
      </a:accent3>
      <a:accent4>
        <a:srgbClr val="A2B481"/>
      </a:accent4>
      <a:accent5>
        <a:srgbClr val="93A8AC"/>
      </a:accent5>
      <a:accent6>
        <a:srgbClr val="4C5760"/>
      </a:accent6>
      <a:hlink>
        <a:srgbClr val="F69D1A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8-07T12:17:38.48" personId="{B163D503-688F-43A0-83B2-955DD70FCA75}" id="{2B1994F7-F1AC-49A1-A8FA-3E72AFA8BADC}">
    <text>Harmonization based on Röck et al. 2020 „Embodied GHG emissions of buildings – The hidden challenge for effective climate change mitigation“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DA1A-C56F-465F-A21C-92E6C3CE3AEB}">
  <dimension ref="A1:BV174"/>
  <sheetViews>
    <sheetView tabSelected="1" zoomScaleNormal="100" workbookViewId="0"/>
  </sheetViews>
  <sheetFormatPr defaultColWidth="11.5546875" defaultRowHeight="14.4" x14ac:dyDescent="0.3"/>
  <cols>
    <col min="2" max="2" width="7.44140625" customWidth="1"/>
    <col min="3" max="3" width="60.77734375" customWidth="1"/>
    <col min="4" max="6" width="5.77734375" customWidth="1"/>
    <col min="7" max="7" width="6.77734375" customWidth="1"/>
    <col min="8" max="10" width="5.77734375" customWidth="1"/>
    <col min="11" max="12" width="16.5546875" customWidth="1"/>
    <col min="14" max="14" width="22.77734375" customWidth="1"/>
    <col min="15" max="15" width="60.77734375" customWidth="1"/>
    <col min="16" max="22" width="5.77734375" customWidth="1"/>
    <col min="23" max="29" width="18.109375" customWidth="1"/>
    <col min="31" max="31" width="29.33203125" customWidth="1"/>
    <col min="32" max="32" width="50.6640625" customWidth="1"/>
    <col min="33" max="33" width="22.77734375" customWidth="1"/>
    <col min="34" max="40" width="5.77734375" customWidth="1"/>
    <col min="41" max="47" width="16.33203125" customWidth="1"/>
    <col min="53" max="53" width="46.5546875" bestFit="1" customWidth="1"/>
    <col min="60" max="60" width="38.109375" customWidth="1"/>
    <col min="61" max="61" width="10.77734375" customWidth="1"/>
    <col min="62" max="62" width="2.77734375" customWidth="1"/>
    <col min="63" max="63" width="10.77734375" customWidth="1"/>
    <col min="64" max="64" width="2.77734375" customWidth="1"/>
    <col min="65" max="65" width="10.77734375" customWidth="1"/>
    <col min="66" max="66" width="2.77734375" customWidth="1"/>
    <col min="67" max="67" width="10.77734375" customWidth="1"/>
    <col min="68" max="68" width="2.77734375" customWidth="1"/>
    <col min="69" max="69" width="10.77734375" customWidth="1"/>
    <col min="70" max="70" width="2.77734375" customWidth="1"/>
    <col min="71" max="71" width="10.77734375" customWidth="1"/>
    <col min="72" max="72" width="2.77734375" customWidth="1"/>
    <col min="73" max="73" width="10.77734375" customWidth="1"/>
    <col min="74" max="74" width="2.77734375" customWidth="1"/>
  </cols>
  <sheetData>
    <row r="1" spans="1:47" s="18" customFormat="1" ht="23.4" x14ac:dyDescent="0.45">
      <c r="A1" s="17" t="s">
        <v>141</v>
      </c>
      <c r="L1" s="69"/>
      <c r="M1" s="70"/>
    </row>
    <row r="2" spans="1:47" s="18" customFormat="1" ht="18" x14ac:dyDescent="0.35">
      <c r="A2" s="19" t="s">
        <v>139</v>
      </c>
      <c r="L2" s="69"/>
      <c r="M2" s="71"/>
    </row>
    <row r="3" spans="1:47" s="18" customFormat="1" x14ac:dyDescent="0.3">
      <c r="A3" s="20"/>
      <c r="L3" s="69"/>
      <c r="M3" s="71"/>
    </row>
    <row r="4" spans="1:47" s="18" customFormat="1" x14ac:dyDescent="0.3">
      <c r="A4" s="20"/>
      <c r="L4" s="69"/>
      <c r="M4" s="71"/>
    </row>
    <row r="5" spans="1:47" s="18" customFormat="1" x14ac:dyDescent="0.3">
      <c r="A5" s="20"/>
      <c r="L5" s="69"/>
      <c r="M5" s="69"/>
    </row>
    <row r="6" spans="1:47" s="18" customFormat="1" x14ac:dyDescent="0.3">
      <c r="A6" s="20"/>
      <c r="L6" s="69"/>
      <c r="M6" s="69"/>
    </row>
    <row r="7" spans="1:47" s="18" customFormat="1" ht="18" x14ac:dyDescent="0.35">
      <c r="A7" s="19" t="s">
        <v>140</v>
      </c>
    </row>
    <row r="8" spans="1:47" s="18" customFormat="1" x14ac:dyDescent="0.3"/>
    <row r="10" spans="1:47" x14ac:dyDescent="0.3">
      <c r="B10" s="115" t="s">
        <v>142</v>
      </c>
      <c r="C10" s="116"/>
      <c r="D10" s="116"/>
      <c r="E10" s="116"/>
      <c r="F10" s="116"/>
      <c r="G10" s="116"/>
      <c r="H10" s="116"/>
      <c r="I10" s="116"/>
      <c r="J10" s="117"/>
      <c r="K10" s="25"/>
      <c r="L10" s="5"/>
      <c r="N10" s="119" t="s">
        <v>119</v>
      </c>
      <c r="O10" s="119"/>
      <c r="P10" s="119"/>
      <c r="Q10" s="119"/>
      <c r="R10" s="119"/>
      <c r="S10" s="119"/>
      <c r="T10" s="119"/>
      <c r="U10" s="119"/>
      <c r="V10" s="119"/>
      <c r="W10" s="119" t="s">
        <v>137</v>
      </c>
      <c r="X10" s="119"/>
      <c r="Y10" s="119"/>
      <c r="Z10" s="119"/>
      <c r="AA10" s="119"/>
      <c r="AB10" s="119"/>
      <c r="AC10" s="119"/>
      <c r="AE10" s="125" t="s">
        <v>138</v>
      </c>
      <c r="AF10" s="125"/>
      <c r="AG10" s="125"/>
      <c r="AH10" s="125"/>
      <c r="AI10" s="125"/>
      <c r="AJ10" s="125"/>
      <c r="AK10" s="125"/>
      <c r="AL10" s="125"/>
      <c r="AM10" s="125"/>
      <c r="AN10" s="125"/>
      <c r="AO10" s="119" t="s">
        <v>137</v>
      </c>
      <c r="AP10" s="119"/>
      <c r="AQ10" s="119"/>
      <c r="AR10" s="119"/>
      <c r="AS10" s="119"/>
      <c r="AT10" s="119"/>
      <c r="AU10" s="119"/>
    </row>
    <row r="11" spans="1:47" ht="43.2" customHeight="1" x14ac:dyDescent="0.3">
      <c r="B11" s="118" t="s">
        <v>116</v>
      </c>
      <c r="C11" s="118"/>
      <c r="D11" s="121" t="s">
        <v>69</v>
      </c>
      <c r="E11" s="121" t="s">
        <v>64</v>
      </c>
      <c r="F11" s="121" t="s">
        <v>65</v>
      </c>
      <c r="G11" s="121" t="s">
        <v>66</v>
      </c>
      <c r="H11" s="121" t="s">
        <v>67</v>
      </c>
      <c r="I11" s="121" t="s">
        <v>68</v>
      </c>
      <c r="J11" s="141" t="s">
        <v>44</v>
      </c>
      <c r="N11" s="120" t="s">
        <v>265</v>
      </c>
      <c r="O11" s="120"/>
      <c r="P11" s="121" t="s">
        <v>69</v>
      </c>
      <c r="Q11" s="121" t="s">
        <v>64</v>
      </c>
      <c r="R11" s="121" t="s">
        <v>65</v>
      </c>
      <c r="S11" s="121" t="s">
        <v>66</v>
      </c>
      <c r="T11" s="121" t="s">
        <v>67</v>
      </c>
      <c r="U11" s="121" t="s">
        <v>68</v>
      </c>
      <c r="V11" s="121" t="s">
        <v>44</v>
      </c>
      <c r="W11" s="121" t="s">
        <v>69</v>
      </c>
      <c r="X11" s="121" t="s">
        <v>64</v>
      </c>
      <c r="Y11" s="121" t="s">
        <v>65</v>
      </c>
      <c r="Z11" s="121" t="s">
        <v>66</v>
      </c>
      <c r="AA11" s="121" t="s">
        <v>67</v>
      </c>
      <c r="AB11" s="121" t="s">
        <v>68</v>
      </c>
      <c r="AC11" s="121" t="s">
        <v>44</v>
      </c>
      <c r="AE11" s="120" t="s">
        <v>266</v>
      </c>
      <c r="AF11" s="120"/>
      <c r="AG11" s="126" t="s">
        <v>263</v>
      </c>
      <c r="AH11" s="121" t="s">
        <v>69</v>
      </c>
      <c r="AI11" s="121" t="s">
        <v>64</v>
      </c>
      <c r="AJ11" s="121" t="s">
        <v>65</v>
      </c>
      <c r="AK11" s="121" t="s">
        <v>66</v>
      </c>
      <c r="AL11" s="121" t="s">
        <v>67</v>
      </c>
      <c r="AM11" s="121" t="s">
        <v>68</v>
      </c>
      <c r="AN11" s="121" t="s">
        <v>44</v>
      </c>
      <c r="AO11" s="121" t="s">
        <v>69</v>
      </c>
      <c r="AP11" s="121" t="s">
        <v>64</v>
      </c>
      <c r="AQ11" s="121" t="s">
        <v>65</v>
      </c>
      <c r="AR11" s="121" t="s">
        <v>66</v>
      </c>
      <c r="AS11" s="121" t="s">
        <v>67</v>
      </c>
      <c r="AT11" s="121" t="s">
        <v>68</v>
      </c>
      <c r="AU11" s="121" t="s">
        <v>44</v>
      </c>
    </row>
    <row r="12" spans="1:47" ht="14.4" customHeight="1" x14ac:dyDescent="0.3">
      <c r="B12" s="136" t="s">
        <v>114</v>
      </c>
      <c r="C12" s="128" t="s">
        <v>112</v>
      </c>
      <c r="D12" s="72">
        <f t="shared" ref="D12:D24" si="0">IF(OR(ISBLANK(P12),ISBLANK(AH12)),"",P12+AH12)</f>
        <v>0</v>
      </c>
      <c r="E12" s="9">
        <f t="shared" ref="E12:E24" si="1">IF(OR(ISBLANK(Q12),ISBLANK(AI12)),"",Q12+AI12)</f>
        <v>7.5600000000000005</v>
      </c>
      <c r="F12" s="24">
        <f t="shared" ref="F12:F24" si="2">IF(OR(ISBLANK(R12),ISBLANK(AJ12)),"",R12+AJ12)</f>
        <v>10.8</v>
      </c>
      <c r="G12" s="24">
        <f>AVERAGE(F12,H12)</f>
        <v>27.37017831478893</v>
      </c>
      <c r="H12" s="24">
        <f t="shared" ref="H12:H24" si="3">IF(OR(ISBLANK(T12),ISBLANK(AL12)),"",T12+AL12)</f>
        <v>43.940356629577863</v>
      </c>
      <c r="I12" s="24">
        <f>AVERAGE(H12,J12)</f>
        <v>52.641086334381228</v>
      </c>
      <c r="J12" s="24">
        <f t="shared" ref="J12:J24" si="4">IF(OR(ISBLANK(V12),ISBLANK(AN12)),"",V12+AN12)</f>
        <v>61.341816039184593</v>
      </c>
      <c r="K12" s="35"/>
      <c r="N12" s="127" t="s">
        <v>114</v>
      </c>
      <c r="O12" s="128" t="s">
        <v>112</v>
      </c>
      <c r="P12" s="9">
        <v>0</v>
      </c>
      <c r="Q12" s="9">
        <f>targets!E6</f>
        <v>2.16</v>
      </c>
      <c r="R12" s="9">
        <f>targets!E5</f>
        <v>3.24</v>
      </c>
      <c r="S12" s="9">
        <f t="shared" ref="S12:S24" si="5">AVERAGE(R12,T12)</f>
        <v>18.625167812359216</v>
      </c>
      <c r="T12" s="9">
        <f>op_res!H26</f>
        <v>34.010335624718429</v>
      </c>
      <c r="U12" s="9">
        <f>AVERAGE(T12,V12)</f>
        <v>41.074318901951514</v>
      </c>
      <c r="V12" s="9">
        <f>op_res!W5</f>
        <v>48.138302179184592</v>
      </c>
      <c r="W12" s="21" t="s">
        <v>118</v>
      </c>
      <c r="X12" s="14" t="s">
        <v>147</v>
      </c>
      <c r="Y12" s="14" t="s">
        <v>155</v>
      </c>
      <c r="Z12" s="13" t="s">
        <v>123</v>
      </c>
      <c r="AA12" s="14" t="s">
        <v>129</v>
      </c>
      <c r="AB12" s="13" t="s">
        <v>130</v>
      </c>
      <c r="AC12" s="15" t="s">
        <v>131</v>
      </c>
      <c r="AD12" t="s">
        <v>35</v>
      </c>
      <c r="AE12" s="127" t="s">
        <v>114</v>
      </c>
      <c r="AF12" s="128" t="s">
        <v>112</v>
      </c>
      <c r="AG12" s="124"/>
      <c r="AH12" s="9">
        <v>0</v>
      </c>
      <c r="AI12" s="9">
        <f>targets!D6</f>
        <v>5.4</v>
      </c>
      <c r="AJ12" s="9">
        <f>targets!D5</f>
        <v>7.5600000000000005</v>
      </c>
      <c r="AK12" s="9">
        <f>AVERAGE(AJ12,AL12)</f>
        <v>8.7450105024297162</v>
      </c>
      <c r="AL12" s="9">
        <f>AVERAGE('emb_res_non-res'!H6,'emb_res_non-res'!H8,'emb_res_non-res'!H9)</f>
        <v>9.930021004859432</v>
      </c>
      <c r="AM12" s="9">
        <f>AVERAGE(AL12,AN12)</f>
        <v>11.566767432429717</v>
      </c>
      <c r="AN12" s="9">
        <f>AVERAGE('emb_res_non-res'!I6,'emb_res_non-res'!I8,'emb_res_non-res'!I9)</f>
        <v>13.203513860000001</v>
      </c>
      <c r="AO12" s="21" t="s">
        <v>118</v>
      </c>
      <c r="AP12" s="23" t="s">
        <v>163</v>
      </c>
      <c r="AQ12" s="23" t="s">
        <v>169</v>
      </c>
      <c r="AR12" s="13" t="s">
        <v>123</v>
      </c>
      <c r="AS12" s="23" t="s">
        <v>179</v>
      </c>
      <c r="AT12" s="13" t="s">
        <v>130</v>
      </c>
      <c r="AU12" s="23" t="s">
        <v>190</v>
      </c>
    </row>
    <row r="13" spans="1:47" ht="14.4" customHeight="1" x14ac:dyDescent="0.3">
      <c r="B13" s="137"/>
      <c r="C13" s="128" t="s">
        <v>113</v>
      </c>
      <c r="D13" s="72">
        <f t="shared" si="0"/>
        <v>0</v>
      </c>
      <c r="E13" s="9">
        <f t="shared" si="1"/>
        <v>7.5600000000000005</v>
      </c>
      <c r="F13" s="24">
        <f t="shared" si="2"/>
        <v>10.8</v>
      </c>
      <c r="G13" s="24">
        <f t="shared" ref="G13:G21" si="6">AVERAGE(F13,H13)</f>
        <v>25.085153450715275</v>
      </c>
      <c r="H13" s="24">
        <f t="shared" si="3"/>
        <v>39.370306901430546</v>
      </c>
      <c r="I13" s="24">
        <f t="shared" ref="I13:I21" si="7">AVERAGE(H13,J13)</f>
        <v>46.893601595525418</v>
      </c>
      <c r="J13" s="24">
        <f t="shared" si="4"/>
        <v>54.41689628962029</v>
      </c>
      <c r="K13" s="35"/>
      <c r="N13" s="127"/>
      <c r="O13" s="128" t="s">
        <v>113</v>
      </c>
      <c r="P13" s="9">
        <v>0</v>
      </c>
      <c r="Q13" s="9">
        <f>targets!E6</f>
        <v>2.16</v>
      </c>
      <c r="R13" s="9">
        <f>targets!E5</f>
        <v>3.24</v>
      </c>
      <c r="S13" s="9">
        <f>AVERAGE(R13,T13)</f>
        <v>14.877471641448434</v>
      </c>
      <c r="T13" s="9">
        <f>op_res!I26</f>
        <v>26.514943282896866</v>
      </c>
      <c r="U13" s="9">
        <f t="shared" ref="U13:U24" si="8">AVERAGE(T13,V13)</f>
        <v>30.666297826258578</v>
      </c>
      <c r="V13" s="9">
        <f>op_res!W8</f>
        <v>34.817652369620291</v>
      </c>
      <c r="W13" s="21" t="s">
        <v>118</v>
      </c>
      <c r="X13" s="14" t="s">
        <v>148</v>
      </c>
      <c r="Y13" s="14" t="s">
        <v>156</v>
      </c>
      <c r="Z13" s="13" t="s">
        <v>123</v>
      </c>
      <c r="AA13" s="14" t="s">
        <v>129</v>
      </c>
      <c r="AB13" s="13" t="s">
        <v>130</v>
      </c>
      <c r="AC13" s="15" t="s">
        <v>131</v>
      </c>
      <c r="AD13" s="122" t="s">
        <v>35</v>
      </c>
      <c r="AE13" s="127"/>
      <c r="AF13" s="128" t="s">
        <v>113</v>
      </c>
      <c r="AG13" s="124"/>
      <c r="AH13" s="9">
        <v>0</v>
      </c>
      <c r="AI13" s="9">
        <f>targets!D6</f>
        <v>5.4</v>
      </c>
      <c r="AJ13" s="9">
        <f>targets!D5</f>
        <v>7.5600000000000005</v>
      </c>
      <c r="AK13" s="9">
        <f t="shared" ref="AK13:AK24" si="9">AVERAGE(AJ13,AL13)</f>
        <v>10.207681809266841</v>
      </c>
      <c r="AL13" s="9">
        <f>'emb_res_non-res'!H7</f>
        <v>12.85536361853368</v>
      </c>
      <c r="AM13" s="9">
        <f t="shared" ref="AM13:AM24" si="10">AVERAGE(AL13,AN13)</f>
        <v>16.22730376926684</v>
      </c>
      <c r="AN13" s="9">
        <f>'emb_res_non-res'!I7</f>
        <v>19.599243919999999</v>
      </c>
      <c r="AO13" s="21" t="s">
        <v>118</v>
      </c>
      <c r="AP13" s="23" t="s">
        <v>163</v>
      </c>
      <c r="AQ13" s="23" t="s">
        <v>169</v>
      </c>
      <c r="AR13" s="13" t="s">
        <v>123</v>
      </c>
      <c r="AS13" s="23" t="s">
        <v>180</v>
      </c>
      <c r="AT13" s="13" t="s">
        <v>130</v>
      </c>
      <c r="AU13" s="23" t="s">
        <v>191</v>
      </c>
    </row>
    <row r="14" spans="1:47" ht="14.4" customHeight="1" x14ac:dyDescent="0.3">
      <c r="B14" s="138" t="s">
        <v>115</v>
      </c>
      <c r="C14" s="128" t="s">
        <v>101</v>
      </c>
      <c r="D14" s="72">
        <f t="shared" si="0"/>
        <v>0</v>
      </c>
      <c r="E14" s="9">
        <f t="shared" si="1"/>
        <v>8.64</v>
      </c>
      <c r="F14" s="24">
        <f t="shared" si="2"/>
        <v>11.88</v>
      </c>
      <c r="G14" s="24">
        <f t="shared" si="6"/>
        <v>31.436713752768402</v>
      </c>
      <c r="H14" s="24">
        <f t="shared" si="3"/>
        <v>50.9934275055368</v>
      </c>
      <c r="I14" s="24">
        <f t="shared" si="7"/>
        <v>74.997540824408048</v>
      </c>
      <c r="J14" s="24">
        <f t="shared" si="4"/>
        <v>99.00165414327931</v>
      </c>
      <c r="N14" s="127" t="s">
        <v>115</v>
      </c>
      <c r="O14" s="128" t="s">
        <v>101</v>
      </c>
      <c r="P14" s="9">
        <v>0</v>
      </c>
      <c r="Q14" s="9">
        <f>targets!E8</f>
        <v>3.24</v>
      </c>
      <c r="R14" s="9">
        <f>targets!E7</f>
        <v>4.32</v>
      </c>
      <c r="S14" s="9">
        <f>AVERAGE(R14,T14)</f>
        <v>21.92206226138244</v>
      </c>
      <c r="T14" s="9">
        <f>'op_non-res'!C7</f>
        <v>39.524124522764879</v>
      </c>
      <c r="U14" s="9">
        <f>AVERAGE(T14,V14)</f>
        <v>60.266382068022097</v>
      </c>
      <c r="V14" s="9">
        <f>'op_non-res'!F7</f>
        <v>81.008639613279314</v>
      </c>
      <c r="W14" s="21" t="s">
        <v>118</v>
      </c>
      <c r="X14" s="14" t="s">
        <v>149</v>
      </c>
      <c r="Y14" s="14" t="s">
        <v>157</v>
      </c>
      <c r="Z14" s="13" t="s">
        <v>123</v>
      </c>
      <c r="AA14" s="14" t="s">
        <v>128</v>
      </c>
      <c r="AB14" s="13" t="s">
        <v>130</v>
      </c>
      <c r="AC14" s="14" t="s">
        <v>128</v>
      </c>
      <c r="AD14" s="123" t="s">
        <v>35</v>
      </c>
      <c r="AE14" s="127" t="s">
        <v>115</v>
      </c>
      <c r="AF14" s="128" t="s">
        <v>101</v>
      </c>
      <c r="AG14" s="124"/>
      <c r="AH14" s="9">
        <v>0</v>
      </c>
      <c r="AI14" s="9">
        <f>targets!D8</f>
        <v>5.4</v>
      </c>
      <c r="AJ14" s="9">
        <f>targets!D7</f>
        <v>7.5600000000000005</v>
      </c>
      <c r="AK14" s="9">
        <f>AVERAGE(AJ14,AL14)</f>
        <v>9.5146514913859601</v>
      </c>
      <c r="AL14" s="9">
        <f>'emb_res_non-res'!H10</f>
        <v>11.46930298277192</v>
      </c>
      <c r="AM14" s="9">
        <f t="shared" si="10"/>
        <v>14.731158756385959</v>
      </c>
      <c r="AN14" s="9">
        <f>'emb_res_non-res'!I10</f>
        <v>17.99301453</v>
      </c>
      <c r="AO14" s="21" t="s">
        <v>118</v>
      </c>
      <c r="AP14" s="23" t="s">
        <v>164</v>
      </c>
      <c r="AQ14" s="23" t="s">
        <v>170</v>
      </c>
      <c r="AR14" s="13" t="s">
        <v>123</v>
      </c>
      <c r="AS14" s="23" t="s">
        <v>181</v>
      </c>
      <c r="AT14" s="13" t="s">
        <v>130</v>
      </c>
      <c r="AU14" s="23" t="s">
        <v>192</v>
      </c>
    </row>
    <row r="15" spans="1:47" ht="14.4" customHeight="1" x14ac:dyDescent="0.3">
      <c r="B15" s="139"/>
      <c r="C15" s="128" t="s">
        <v>102</v>
      </c>
      <c r="D15" s="72">
        <f t="shared" si="0"/>
        <v>0</v>
      </c>
      <c r="E15" s="9">
        <f t="shared" si="1"/>
        <v>8.1000000000000014</v>
      </c>
      <c r="F15" s="24">
        <f t="shared" si="2"/>
        <v>11.34</v>
      </c>
      <c r="G15" s="24">
        <f t="shared" si="6"/>
        <v>38.982121633112385</v>
      </c>
      <c r="H15" s="24">
        <f t="shared" si="3"/>
        <v>66.624243266224767</v>
      </c>
      <c r="I15" s="24">
        <f t="shared" si="7"/>
        <v>105.02323056190653</v>
      </c>
      <c r="J15" s="24">
        <f t="shared" si="4"/>
        <v>143.42221785758829</v>
      </c>
      <c r="N15" s="127"/>
      <c r="O15" s="128" t="s">
        <v>102</v>
      </c>
      <c r="P15" s="9">
        <v>0</v>
      </c>
      <c r="Q15" s="9">
        <f>AVERAGE(targets!E8,targets!E10,targets!E12,targets!E14)</f>
        <v>2.7</v>
      </c>
      <c r="R15" s="9">
        <f>AVERAGE(targets!E7,targets!E9,targets!E11,targets!E13)</f>
        <v>3.7800000000000002</v>
      </c>
      <c r="S15" s="9">
        <f>AVERAGE(R15,T15)</f>
        <v>28.8690895168194</v>
      </c>
      <c r="T15" s="9">
        <f>'op_non-res'!C9</f>
        <v>53.9581790336388</v>
      </c>
      <c r="U15" s="9">
        <f>AVERAGE(T15,V15)</f>
        <v>87.484904913113553</v>
      </c>
      <c r="V15" s="9">
        <f>'op_non-res'!F9</f>
        <v>121.01163079258831</v>
      </c>
      <c r="W15" s="21" t="s">
        <v>118</v>
      </c>
      <c r="X15" s="22" t="s">
        <v>150</v>
      </c>
      <c r="Y15" s="22" t="s">
        <v>158</v>
      </c>
      <c r="Z15" s="13" t="s">
        <v>123</v>
      </c>
      <c r="AA15" s="14" t="s">
        <v>128</v>
      </c>
      <c r="AB15" s="13" t="s">
        <v>130</v>
      </c>
      <c r="AC15" s="14" t="s">
        <v>128</v>
      </c>
      <c r="AD15" s="122" t="s">
        <v>35</v>
      </c>
      <c r="AE15" s="127"/>
      <c r="AF15" s="128" t="s">
        <v>102</v>
      </c>
      <c r="AG15" s="124"/>
      <c r="AH15" s="9">
        <v>0</v>
      </c>
      <c r="AI15" s="9">
        <f>AI14</f>
        <v>5.4</v>
      </c>
      <c r="AJ15" s="9">
        <f>AJ14</f>
        <v>7.5600000000000005</v>
      </c>
      <c r="AK15" s="9">
        <f t="shared" si="9"/>
        <v>10.113032116292981</v>
      </c>
      <c r="AL15" s="9">
        <f>AVERAGE(AL17,AL14)</f>
        <v>12.66606423258596</v>
      </c>
      <c r="AM15" s="9">
        <f t="shared" si="10"/>
        <v>17.538325648792981</v>
      </c>
      <c r="AN15" s="9">
        <f>AVERAGE(AN17,AN14)</f>
        <v>22.410587065000001</v>
      </c>
      <c r="AO15" s="21" t="s">
        <v>118</v>
      </c>
      <c r="AP15" s="22" t="s">
        <v>165</v>
      </c>
      <c r="AQ15" s="22" t="s">
        <v>171</v>
      </c>
      <c r="AR15" s="13" t="s">
        <v>123</v>
      </c>
      <c r="AS15" s="21" t="s">
        <v>182</v>
      </c>
      <c r="AT15" s="13" t="s">
        <v>130</v>
      </c>
      <c r="AU15" s="21" t="s">
        <v>193</v>
      </c>
    </row>
    <row r="16" spans="1:47" ht="14.4" customHeight="1" x14ac:dyDescent="0.3">
      <c r="B16" s="139"/>
      <c r="C16" s="128" t="s">
        <v>103</v>
      </c>
      <c r="D16" s="72">
        <f t="shared" si="0"/>
        <v>0</v>
      </c>
      <c r="E16" s="9">
        <f t="shared" si="1"/>
        <v>11.88</v>
      </c>
      <c r="F16" s="24">
        <f t="shared" si="2"/>
        <v>16.200000000000003</v>
      </c>
      <c r="G16" s="24">
        <f t="shared" si="6"/>
        <v>44.048705314362223</v>
      </c>
      <c r="H16" s="24">
        <f t="shared" si="3"/>
        <v>71.897410628724444</v>
      </c>
      <c r="I16" s="24">
        <f t="shared" si="7"/>
        <v>104.83455059287746</v>
      </c>
      <c r="J16" s="24">
        <f t="shared" si="4"/>
        <v>137.7716905570305</v>
      </c>
      <c r="N16" s="127"/>
      <c r="O16" s="128" t="s">
        <v>103</v>
      </c>
      <c r="P16" s="9">
        <v>0</v>
      </c>
      <c r="Q16" s="9">
        <f>targets!E20</f>
        <v>6.48</v>
      </c>
      <c r="R16" s="9">
        <f>targets!E19</f>
        <v>8.64</v>
      </c>
      <c r="S16" s="9">
        <f t="shared" si="5"/>
        <v>32.483827761028891</v>
      </c>
      <c r="T16" s="9">
        <f>'op_non-res'!C6</f>
        <v>56.327655522057782</v>
      </c>
      <c r="U16" s="9">
        <f t="shared" si="8"/>
        <v>86.449309324544146</v>
      </c>
      <c r="V16" s="9">
        <f>'op_non-res'!F6</f>
        <v>116.5709631270305</v>
      </c>
      <c r="W16" s="21" t="s">
        <v>118</v>
      </c>
      <c r="X16" s="22" t="s">
        <v>151</v>
      </c>
      <c r="Y16" s="22" t="s">
        <v>159</v>
      </c>
      <c r="Z16" s="13" t="s">
        <v>123</v>
      </c>
      <c r="AA16" s="14" t="s">
        <v>128</v>
      </c>
      <c r="AB16" s="13" t="s">
        <v>130</v>
      </c>
      <c r="AC16" s="14" t="s">
        <v>128</v>
      </c>
      <c r="AD16" s="122" t="s">
        <v>35</v>
      </c>
      <c r="AE16" s="127"/>
      <c r="AF16" s="128" t="s">
        <v>103</v>
      </c>
      <c r="AG16" s="114" t="s">
        <v>178</v>
      </c>
      <c r="AH16" s="9">
        <v>0</v>
      </c>
      <c r="AI16" s="9">
        <f>AI14</f>
        <v>5.4</v>
      </c>
      <c r="AJ16" s="9">
        <f>AJ14</f>
        <v>7.5600000000000005</v>
      </c>
      <c r="AK16" s="9">
        <f t="shared" si="9"/>
        <v>11.56487755333333</v>
      </c>
      <c r="AL16" s="9">
        <f>'emb_res_non-res'!H11</f>
        <v>15.56975510666666</v>
      </c>
      <c r="AM16" s="9">
        <f t="shared" si="10"/>
        <v>18.385241268333331</v>
      </c>
      <c r="AN16" s="9">
        <f>'emb_res_non-res'!I11</f>
        <v>21.200727430000001</v>
      </c>
      <c r="AO16" s="21" t="s">
        <v>118</v>
      </c>
      <c r="AP16" s="22" t="s">
        <v>165</v>
      </c>
      <c r="AQ16" s="22" t="s">
        <v>171</v>
      </c>
      <c r="AR16" s="13" t="s">
        <v>123</v>
      </c>
      <c r="AS16" s="23" t="s">
        <v>183</v>
      </c>
      <c r="AT16" s="13" t="s">
        <v>130</v>
      </c>
      <c r="AU16" s="23" t="s">
        <v>194</v>
      </c>
    </row>
    <row r="17" spans="2:47" ht="14.4" customHeight="1" x14ac:dyDescent="0.3">
      <c r="B17" s="139"/>
      <c r="C17" s="128" t="s">
        <v>104</v>
      </c>
      <c r="D17" s="72">
        <f t="shared" si="0"/>
        <v>0</v>
      </c>
      <c r="E17" s="9">
        <f t="shared" si="1"/>
        <v>7.9200000000000017</v>
      </c>
      <c r="F17" s="24">
        <f t="shared" si="2"/>
        <v>11.16</v>
      </c>
      <c r="G17" s="24">
        <f t="shared" si="6"/>
        <v>35.175469604426695</v>
      </c>
      <c r="H17" s="24">
        <f t="shared" si="3"/>
        <v>59.190939208853393</v>
      </c>
      <c r="I17" s="24">
        <f t="shared" si="7"/>
        <v>86.752507319979372</v>
      </c>
      <c r="J17" s="24">
        <f t="shared" si="4"/>
        <v>114.31407543110535</v>
      </c>
      <c r="N17" s="127"/>
      <c r="O17" s="128" t="s">
        <v>104</v>
      </c>
      <c r="P17" s="9">
        <v>0</v>
      </c>
      <c r="Q17" s="9">
        <f>AVERAGE(targets!E10,targets!E12,targets!E14)</f>
        <v>2.52</v>
      </c>
      <c r="R17" s="9">
        <f>AVERAGE(targets!E9,targets!E11,targets!E13)</f>
        <v>3.6</v>
      </c>
      <c r="S17" s="9">
        <f t="shared" si="5"/>
        <v>24.464056863226695</v>
      </c>
      <c r="T17" s="9">
        <f>'op_non-res'!C11</f>
        <v>45.328113726453388</v>
      </c>
      <c r="U17" s="9">
        <f t="shared" si="8"/>
        <v>66.40701477877937</v>
      </c>
      <c r="V17" s="9">
        <f>'op_non-res'!F11</f>
        <v>87.485915831105359</v>
      </c>
      <c r="W17" s="21" t="s">
        <v>118</v>
      </c>
      <c r="X17" s="14" t="s">
        <v>152</v>
      </c>
      <c r="Y17" s="14" t="s">
        <v>160</v>
      </c>
      <c r="Z17" s="13" t="s">
        <v>123</v>
      </c>
      <c r="AA17" s="14" t="s">
        <v>128</v>
      </c>
      <c r="AB17" s="13" t="s">
        <v>130</v>
      </c>
      <c r="AC17" s="14" t="s">
        <v>128</v>
      </c>
      <c r="AD17" s="123" t="s">
        <v>35</v>
      </c>
      <c r="AE17" s="127"/>
      <c r="AF17" s="128" t="s">
        <v>104</v>
      </c>
      <c r="AG17" s="124"/>
      <c r="AH17" s="9">
        <v>0</v>
      </c>
      <c r="AI17" s="9">
        <f>AVERAGE(targets!D10,targets!D12,targets!D14)</f>
        <v>5.4000000000000012</v>
      </c>
      <c r="AJ17" s="9">
        <f>AVERAGE(targets!D9,targets!D11,targets!D13)</f>
        <v>7.56</v>
      </c>
      <c r="AK17" s="9">
        <f t="shared" si="9"/>
        <v>10.7114127412</v>
      </c>
      <c r="AL17" s="9">
        <f>'emb_res_non-res'!H12</f>
        <v>13.862825482400002</v>
      </c>
      <c r="AM17" s="9">
        <f t="shared" si="10"/>
        <v>20.345492541200002</v>
      </c>
      <c r="AN17" s="9">
        <f>'emb_res_non-res'!I12</f>
        <v>26.828159599999999</v>
      </c>
      <c r="AO17" s="21" t="s">
        <v>118</v>
      </c>
      <c r="AP17" s="23" t="s">
        <v>166</v>
      </c>
      <c r="AQ17" s="23" t="s">
        <v>172</v>
      </c>
      <c r="AR17" s="13" t="s">
        <v>123</v>
      </c>
      <c r="AS17" s="23" t="s">
        <v>184</v>
      </c>
      <c r="AT17" s="13" t="s">
        <v>130</v>
      </c>
      <c r="AU17" s="23" t="s">
        <v>195</v>
      </c>
    </row>
    <row r="18" spans="2:47" ht="14.4" customHeight="1" x14ac:dyDescent="0.3">
      <c r="B18" s="139"/>
      <c r="C18" s="128" t="s">
        <v>105</v>
      </c>
      <c r="D18" s="72">
        <f t="shared" si="0"/>
        <v>0</v>
      </c>
      <c r="E18" s="9">
        <f t="shared" si="1"/>
        <v>7.92</v>
      </c>
      <c r="F18" s="24">
        <f t="shared" si="2"/>
        <v>11.16</v>
      </c>
      <c r="G18" s="24">
        <f t="shared" si="6"/>
        <v>42.816793350039347</v>
      </c>
      <c r="H18" s="24">
        <f t="shared" si="3"/>
        <v>74.473586700078698</v>
      </c>
      <c r="I18" s="24">
        <f t="shared" si="7"/>
        <v>134.27302286972161</v>
      </c>
      <c r="J18" s="24">
        <f t="shared" si="4"/>
        <v>194.0724590393645</v>
      </c>
      <c r="N18" s="127"/>
      <c r="O18" s="128" t="s">
        <v>105</v>
      </c>
      <c r="P18" s="9">
        <v>0</v>
      </c>
      <c r="Q18" s="9">
        <f>Q17</f>
        <v>2.52</v>
      </c>
      <c r="R18" s="9">
        <f>R17</f>
        <v>3.6</v>
      </c>
      <c r="S18" s="9">
        <f>AVERAGE(R18,T18)</f>
        <v>32.105380608839347</v>
      </c>
      <c r="T18" s="9">
        <f>'op_non-res'!C5</f>
        <v>60.610761217678693</v>
      </c>
      <c r="U18" s="9">
        <f t="shared" si="8"/>
        <v>113.9275303285216</v>
      </c>
      <c r="V18" s="9">
        <f>'op_non-res'!F5</f>
        <v>167.24429943936451</v>
      </c>
      <c r="W18" s="21" t="s">
        <v>118</v>
      </c>
      <c r="X18" s="15" t="s">
        <v>120</v>
      </c>
      <c r="Y18" s="15" t="s">
        <v>122</v>
      </c>
      <c r="Z18" s="13" t="s">
        <v>123</v>
      </c>
      <c r="AA18" s="14" t="s">
        <v>128</v>
      </c>
      <c r="AB18" s="13" t="s">
        <v>130</v>
      </c>
      <c r="AC18" s="14" t="s">
        <v>128</v>
      </c>
      <c r="AD18" t="s">
        <v>35</v>
      </c>
      <c r="AE18" s="127"/>
      <c r="AF18" s="128" t="s">
        <v>105</v>
      </c>
      <c r="AG18" s="114" t="s">
        <v>178</v>
      </c>
      <c r="AH18" s="9">
        <v>0</v>
      </c>
      <c r="AI18" s="9">
        <f>AI14</f>
        <v>5.4</v>
      </c>
      <c r="AJ18" s="9">
        <f>AJ14</f>
        <v>7.5600000000000005</v>
      </c>
      <c r="AK18" s="9">
        <f>AVERAGE(AJ18,AL18)</f>
        <v>10.7114127412</v>
      </c>
      <c r="AL18" s="9">
        <f>AL17</f>
        <v>13.862825482400002</v>
      </c>
      <c r="AM18" s="9">
        <f t="shared" si="10"/>
        <v>20.345492541200002</v>
      </c>
      <c r="AN18" s="9">
        <f>AN17</f>
        <v>26.828159599999999</v>
      </c>
      <c r="AO18" s="21" t="s">
        <v>118</v>
      </c>
      <c r="AP18" s="22" t="s">
        <v>165</v>
      </c>
      <c r="AQ18" s="22" t="s">
        <v>171</v>
      </c>
      <c r="AR18" s="13" t="s">
        <v>123</v>
      </c>
      <c r="AS18" s="21" t="s">
        <v>201</v>
      </c>
      <c r="AT18" s="13" t="s">
        <v>130</v>
      </c>
      <c r="AU18" s="21" t="s">
        <v>201</v>
      </c>
    </row>
    <row r="19" spans="2:47" ht="14.4" customHeight="1" x14ac:dyDescent="0.3">
      <c r="B19" s="139"/>
      <c r="C19" s="128" t="s">
        <v>106</v>
      </c>
      <c r="D19" s="72">
        <f t="shared" si="0"/>
        <v>0</v>
      </c>
      <c r="E19" s="9">
        <f t="shared" si="1"/>
        <v>7.92</v>
      </c>
      <c r="F19" s="24">
        <f t="shared" si="2"/>
        <v>11.16</v>
      </c>
      <c r="G19" s="24">
        <f t="shared" si="6"/>
        <v>32.965987565303507</v>
      </c>
      <c r="H19" s="24">
        <f t="shared" si="3"/>
        <v>54.771975130607018</v>
      </c>
      <c r="I19" s="24">
        <f t="shared" si="7"/>
        <v>77.083600979140598</v>
      </c>
      <c r="J19" s="24">
        <f t="shared" si="4"/>
        <v>99.395226827674179</v>
      </c>
      <c r="N19" s="127"/>
      <c r="O19" s="128" t="s">
        <v>106</v>
      </c>
      <c r="P19" s="9">
        <v>0</v>
      </c>
      <c r="Q19" s="9">
        <f>Q17</f>
        <v>2.52</v>
      </c>
      <c r="R19" s="9">
        <f>R17</f>
        <v>3.6</v>
      </c>
      <c r="S19" s="9">
        <f t="shared" si="5"/>
        <v>21.358438615303509</v>
      </c>
      <c r="T19" s="9">
        <f>'op_non-res'!C10</f>
        <v>39.116877230607017</v>
      </c>
      <c r="U19" s="9">
        <f t="shared" si="8"/>
        <v>59.168699089140596</v>
      </c>
      <c r="V19" s="9">
        <f>'op_non-res'!F10</f>
        <v>79.220520947674174</v>
      </c>
      <c r="W19" s="21" t="s">
        <v>118</v>
      </c>
      <c r="X19" s="15" t="s">
        <v>120</v>
      </c>
      <c r="Y19" s="15" t="s">
        <v>122</v>
      </c>
      <c r="Z19" s="13" t="s">
        <v>123</v>
      </c>
      <c r="AA19" s="14" t="s">
        <v>128</v>
      </c>
      <c r="AB19" s="13" t="s">
        <v>130</v>
      </c>
      <c r="AC19" s="14" t="s">
        <v>128</v>
      </c>
      <c r="AD19" s="11" t="s">
        <v>35</v>
      </c>
      <c r="AE19" s="127"/>
      <c r="AF19" s="128" t="s">
        <v>106</v>
      </c>
      <c r="AG19" s="114" t="s">
        <v>178</v>
      </c>
      <c r="AH19" s="9">
        <v>0</v>
      </c>
      <c r="AI19" s="9">
        <f>AI14</f>
        <v>5.4</v>
      </c>
      <c r="AJ19" s="9">
        <f>AJ14</f>
        <v>7.5600000000000005</v>
      </c>
      <c r="AK19" s="9">
        <f t="shared" si="9"/>
        <v>11.607548950000002</v>
      </c>
      <c r="AL19" s="9">
        <f>'emb_res_non-res'!H13</f>
        <v>15.655097900000001</v>
      </c>
      <c r="AM19" s="9">
        <f t="shared" si="10"/>
        <v>17.914901889999999</v>
      </c>
      <c r="AN19" s="9">
        <f>'emb_res_non-res'!I13</f>
        <v>20.174705879999998</v>
      </c>
      <c r="AO19" s="21" t="s">
        <v>118</v>
      </c>
      <c r="AP19" s="22" t="s">
        <v>165</v>
      </c>
      <c r="AQ19" s="22" t="s">
        <v>171</v>
      </c>
      <c r="AR19" s="13" t="s">
        <v>123</v>
      </c>
      <c r="AS19" s="23" t="s">
        <v>185</v>
      </c>
      <c r="AT19" s="13" t="s">
        <v>130</v>
      </c>
      <c r="AU19" s="23" t="s">
        <v>196</v>
      </c>
    </row>
    <row r="20" spans="2:47" ht="14.4" customHeight="1" x14ac:dyDescent="0.3">
      <c r="B20" s="139"/>
      <c r="C20" s="129" t="s">
        <v>107</v>
      </c>
      <c r="D20" s="72">
        <f t="shared" si="0"/>
        <v>0</v>
      </c>
      <c r="E20" s="9">
        <f>IF(OR(ISBLANK(Q20),ISBLANK(AI20)),"",Q20+AI20)</f>
        <v>11.88</v>
      </c>
      <c r="F20" s="24">
        <f>IF(OR(ISBLANK(R20),ISBLANK(AJ20)),"",R20+AJ20)</f>
        <v>16.200000000000003</v>
      </c>
      <c r="G20" s="24">
        <f t="shared" si="6"/>
        <v>48.880081580457215</v>
      </c>
      <c r="H20" s="24">
        <f t="shared" si="3"/>
        <v>81.560163160914428</v>
      </c>
      <c r="I20" s="24">
        <f t="shared" si="7"/>
        <v>131.43871262486132</v>
      </c>
      <c r="J20" s="24">
        <f t="shared" si="4"/>
        <v>181.31726208880821</v>
      </c>
      <c r="N20" s="127"/>
      <c r="O20" s="129" t="s">
        <v>107</v>
      </c>
      <c r="P20" s="9">
        <v>0</v>
      </c>
      <c r="Q20" s="9">
        <f>targets!E20</f>
        <v>6.48</v>
      </c>
      <c r="R20" s="9">
        <f>targets!E19</f>
        <v>8.64</v>
      </c>
      <c r="S20" s="9">
        <f>AVERAGE(R20,T20)</f>
        <v>37.315204027123883</v>
      </c>
      <c r="T20" s="9">
        <f>'op_non-res'!C4</f>
        <v>65.990408054247766</v>
      </c>
      <c r="U20" s="9">
        <f t="shared" si="8"/>
        <v>113.05347135652798</v>
      </c>
      <c r="V20" s="9">
        <f>'op_non-res'!F4</f>
        <v>160.11653465880821</v>
      </c>
      <c r="W20" s="21" t="s">
        <v>118</v>
      </c>
      <c r="X20" s="14" t="s">
        <v>153</v>
      </c>
      <c r="Y20" s="14" t="s">
        <v>161</v>
      </c>
      <c r="Z20" s="13" t="s">
        <v>123</v>
      </c>
      <c r="AA20" s="14" t="s">
        <v>128</v>
      </c>
      <c r="AB20" s="13" t="s">
        <v>130</v>
      </c>
      <c r="AC20" s="14" t="s">
        <v>128</v>
      </c>
      <c r="AD20" s="11" t="s">
        <v>35</v>
      </c>
      <c r="AE20" s="127"/>
      <c r="AF20" s="129" t="s">
        <v>107</v>
      </c>
      <c r="AG20" s="114" t="s">
        <v>178</v>
      </c>
      <c r="AH20" s="9">
        <v>0</v>
      </c>
      <c r="AI20" s="9">
        <f>targets!D20</f>
        <v>5.4</v>
      </c>
      <c r="AJ20" s="9">
        <f>targets!D19</f>
        <v>7.5600000000000005</v>
      </c>
      <c r="AK20" s="9">
        <f t="shared" si="9"/>
        <v>11.56487755333333</v>
      </c>
      <c r="AL20" s="9">
        <f>AL16</f>
        <v>15.56975510666666</v>
      </c>
      <c r="AM20" s="9">
        <f t="shared" si="10"/>
        <v>18.385241268333331</v>
      </c>
      <c r="AN20" s="9">
        <f>AN16</f>
        <v>21.200727430000001</v>
      </c>
      <c r="AO20" s="21" t="s">
        <v>118</v>
      </c>
      <c r="AP20" s="23" t="s">
        <v>167</v>
      </c>
      <c r="AQ20" s="23" t="s">
        <v>173</v>
      </c>
      <c r="AR20" s="13" t="s">
        <v>123</v>
      </c>
      <c r="AS20" s="21" t="s">
        <v>198</v>
      </c>
      <c r="AT20" s="13" t="s">
        <v>130</v>
      </c>
      <c r="AU20" s="21" t="s">
        <v>200</v>
      </c>
    </row>
    <row r="21" spans="2:47" ht="14.4" customHeight="1" x14ac:dyDescent="0.3">
      <c r="B21" s="139"/>
      <c r="C21" s="128" t="s">
        <v>108</v>
      </c>
      <c r="D21" s="72">
        <f t="shared" si="0"/>
        <v>0</v>
      </c>
      <c r="E21" s="9">
        <f t="shared" si="1"/>
        <v>8.64</v>
      </c>
      <c r="F21" s="24">
        <f t="shared" si="2"/>
        <v>14.040000000000001</v>
      </c>
      <c r="G21" s="24">
        <f t="shared" si="6"/>
        <v>33.251170583486171</v>
      </c>
      <c r="H21" s="24">
        <f t="shared" si="3"/>
        <v>52.462341166972344</v>
      </c>
      <c r="I21" s="24">
        <f t="shared" si="7"/>
        <v>75.184456704613737</v>
      </c>
      <c r="J21" s="24">
        <f t="shared" si="4"/>
        <v>97.906572242255123</v>
      </c>
      <c r="N21" s="127"/>
      <c r="O21" s="128" t="s">
        <v>108</v>
      </c>
      <c r="P21" s="9">
        <v>0</v>
      </c>
      <c r="Q21" s="9">
        <f>targets!E16</f>
        <v>3.24</v>
      </c>
      <c r="R21" s="9">
        <f>targets!E15</f>
        <v>6.48</v>
      </c>
      <c r="S21" s="9">
        <f t="shared" si="5"/>
        <v>23.9349569040631</v>
      </c>
      <c r="T21" s="9">
        <f>'op_non-res'!C13</f>
        <v>41.389913808126202</v>
      </c>
      <c r="U21" s="9">
        <f t="shared" si="8"/>
        <v>62.746478525190668</v>
      </c>
      <c r="V21" s="9">
        <f>'op_non-res'!F13</f>
        <v>84.10304324225514</v>
      </c>
      <c r="W21" s="21" t="s">
        <v>118</v>
      </c>
      <c r="X21" s="14" t="s">
        <v>154</v>
      </c>
      <c r="Y21" s="14" t="s">
        <v>162</v>
      </c>
      <c r="Z21" s="13" t="s">
        <v>123</v>
      </c>
      <c r="AA21" s="14" t="s">
        <v>128</v>
      </c>
      <c r="AB21" s="13" t="s">
        <v>130</v>
      </c>
      <c r="AC21" s="14" t="s">
        <v>128</v>
      </c>
      <c r="AD21" s="11" t="s">
        <v>35</v>
      </c>
      <c r="AE21" s="127"/>
      <c r="AF21" s="128" t="s">
        <v>108</v>
      </c>
      <c r="AG21" s="124"/>
      <c r="AH21" s="9">
        <v>0</v>
      </c>
      <c r="AI21" s="9">
        <f>targets!D16</f>
        <v>5.4</v>
      </c>
      <c r="AJ21" s="9">
        <f>targets!D15</f>
        <v>7.5600000000000005</v>
      </c>
      <c r="AK21" s="9">
        <f t="shared" si="9"/>
        <v>9.3162136794230701</v>
      </c>
      <c r="AL21" s="9">
        <f>'emb_res_non-res'!H15</f>
        <v>11.07242735884614</v>
      </c>
      <c r="AM21" s="9">
        <f t="shared" si="10"/>
        <v>12.437978179423059</v>
      </c>
      <c r="AN21" s="9">
        <f>'emb_res_non-res'!I15</f>
        <v>13.80352899999998</v>
      </c>
      <c r="AO21" s="21" t="s">
        <v>118</v>
      </c>
      <c r="AP21" s="23" t="s">
        <v>168</v>
      </c>
      <c r="AQ21" s="23" t="s">
        <v>174</v>
      </c>
      <c r="AR21" s="13" t="s">
        <v>123</v>
      </c>
      <c r="AS21" s="23" t="s">
        <v>186</v>
      </c>
      <c r="AT21" s="13" t="s">
        <v>130</v>
      </c>
      <c r="AU21" s="23" t="s">
        <v>197</v>
      </c>
    </row>
    <row r="22" spans="2:47" ht="14.4" customHeight="1" x14ac:dyDescent="0.3">
      <c r="B22" s="139"/>
      <c r="C22" s="128" t="s">
        <v>109</v>
      </c>
      <c r="D22" s="72">
        <f t="shared" si="0"/>
        <v>0</v>
      </c>
      <c r="E22" s="9">
        <f t="shared" si="1"/>
        <v>8.64</v>
      </c>
      <c r="F22" s="24">
        <f t="shared" si="2"/>
        <v>11.88</v>
      </c>
      <c r="G22" s="24">
        <f>AVERAGE(F22,H22)</f>
        <v>44.762227279621996</v>
      </c>
      <c r="H22" s="24">
        <f t="shared" si="3"/>
        <v>77.644454559243997</v>
      </c>
      <c r="I22" s="24">
        <f>AVERAGE(H22,J22)</f>
        <v>126.52470391810603</v>
      </c>
      <c r="J22" s="24">
        <f t="shared" si="4"/>
        <v>175.40495327696806</v>
      </c>
      <c r="K22" s="7" t="s">
        <v>35</v>
      </c>
      <c r="N22" s="127"/>
      <c r="O22" s="128" t="s">
        <v>109</v>
      </c>
      <c r="P22" s="9">
        <v>0</v>
      </c>
      <c r="Q22" s="9">
        <f>Q14</f>
        <v>3.24</v>
      </c>
      <c r="R22" s="9">
        <f>R14</f>
        <v>4.32</v>
      </c>
      <c r="S22" s="9">
        <f t="shared" si="5"/>
        <v>35.446013600198924</v>
      </c>
      <c r="T22" s="9">
        <f>'op_non-res'!C8</f>
        <v>66.572027200397855</v>
      </c>
      <c r="U22" s="9">
        <f t="shared" si="8"/>
        <v>114.08672573868297</v>
      </c>
      <c r="V22" s="9">
        <f>'op_non-res'!F8</f>
        <v>161.60142427696809</v>
      </c>
      <c r="W22" s="21" t="s">
        <v>118</v>
      </c>
      <c r="X22" s="15" t="s">
        <v>121</v>
      </c>
      <c r="Y22" s="15" t="s">
        <v>121</v>
      </c>
      <c r="Z22" s="13" t="s">
        <v>123</v>
      </c>
      <c r="AA22" s="14" t="s">
        <v>128</v>
      </c>
      <c r="AB22" s="13" t="s">
        <v>130</v>
      </c>
      <c r="AC22" s="14" t="s">
        <v>128</v>
      </c>
      <c r="AD22" s="11" t="s">
        <v>35</v>
      </c>
      <c r="AE22" s="127"/>
      <c r="AF22" s="128" t="s">
        <v>109</v>
      </c>
      <c r="AG22" s="124"/>
      <c r="AH22" s="9">
        <f>AH21</f>
        <v>0</v>
      </c>
      <c r="AI22" s="9">
        <f>AI14</f>
        <v>5.4</v>
      </c>
      <c r="AJ22" s="9">
        <f>AJ14</f>
        <v>7.5600000000000005</v>
      </c>
      <c r="AK22" s="9">
        <f t="shared" si="9"/>
        <v>9.3162136794230701</v>
      </c>
      <c r="AL22" s="9">
        <f>AL21</f>
        <v>11.07242735884614</v>
      </c>
      <c r="AM22" s="9">
        <f t="shared" si="10"/>
        <v>12.437978179423059</v>
      </c>
      <c r="AN22" s="9">
        <f>AN21</f>
        <v>13.80352899999998</v>
      </c>
      <c r="AO22" s="21" t="s">
        <v>118</v>
      </c>
      <c r="AP22" s="22" t="s">
        <v>165</v>
      </c>
      <c r="AQ22" s="22" t="s">
        <v>171</v>
      </c>
      <c r="AR22" s="13" t="s">
        <v>123</v>
      </c>
      <c r="AS22" s="21" t="s">
        <v>187</v>
      </c>
      <c r="AT22" s="13" t="s">
        <v>130</v>
      </c>
      <c r="AU22" s="21" t="s">
        <v>175</v>
      </c>
    </row>
    <row r="23" spans="2:47" ht="14.4" customHeight="1" x14ac:dyDescent="0.3">
      <c r="B23" s="139"/>
      <c r="C23" s="128" t="s">
        <v>110</v>
      </c>
      <c r="D23" s="72">
        <f t="shared" si="0"/>
        <v>0</v>
      </c>
      <c r="E23" s="9">
        <f t="shared" si="1"/>
        <v>8.64</v>
      </c>
      <c r="F23" s="24">
        <f t="shared" si="2"/>
        <v>11.88</v>
      </c>
      <c r="G23" s="24">
        <f>AVERAGE(F23,H23)</f>
        <v>34.648430239376268</v>
      </c>
      <c r="H23" s="24">
        <f t="shared" si="3"/>
        <v>57.41686047875254</v>
      </c>
      <c r="I23" s="24">
        <f>AVERAGE(H23,J23)</f>
        <v>80.649305866345486</v>
      </c>
      <c r="J23" s="24">
        <f t="shared" si="4"/>
        <v>103.88175125393842</v>
      </c>
      <c r="K23" s="7"/>
      <c r="N23" s="127"/>
      <c r="O23" s="128" t="s">
        <v>110</v>
      </c>
      <c r="P23" s="9">
        <v>0</v>
      </c>
      <c r="Q23" s="9">
        <f>Q14</f>
        <v>3.24</v>
      </c>
      <c r="R23" s="9">
        <f>R14</f>
        <v>4.32</v>
      </c>
      <c r="S23" s="9">
        <f t="shared" si="5"/>
        <v>25.332216559953199</v>
      </c>
      <c r="T23" s="9">
        <f>'op_non-res'!C12</f>
        <v>46.344433119906398</v>
      </c>
      <c r="U23" s="9">
        <f t="shared" si="8"/>
        <v>68.211327686922417</v>
      </c>
      <c r="V23" s="9">
        <f>'op_non-res'!F12</f>
        <v>90.078222253938435</v>
      </c>
      <c r="W23" s="21" t="s">
        <v>118</v>
      </c>
      <c r="X23" s="15" t="s">
        <v>121</v>
      </c>
      <c r="Y23" s="15" t="s">
        <v>121</v>
      </c>
      <c r="Z23" s="13" t="s">
        <v>123</v>
      </c>
      <c r="AA23" s="14" t="s">
        <v>128</v>
      </c>
      <c r="AB23" s="13" t="s">
        <v>130</v>
      </c>
      <c r="AC23" s="14" t="s">
        <v>128</v>
      </c>
      <c r="AD23" s="11" t="s">
        <v>35</v>
      </c>
      <c r="AE23" s="127"/>
      <c r="AF23" s="128" t="s">
        <v>110</v>
      </c>
      <c r="AG23" s="124"/>
      <c r="AH23" s="9">
        <f>AH22</f>
        <v>0</v>
      </c>
      <c r="AI23" s="9">
        <f>AI14</f>
        <v>5.4</v>
      </c>
      <c r="AJ23" s="9">
        <f>AJ14</f>
        <v>7.5600000000000005</v>
      </c>
      <c r="AK23" s="9">
        <f t="shared" si="9"/>
        <v>9.3162136794230701</v>
      </c>
      <c r="AL23" s="9">
        <f>AL22</f>
        <v>11.07242735884614</v>
      </c>
      <c r="AM23" s="9">
        <f t="shared" si="10"/>
        <v>12.437978179423059</v>
      </c>
      <c r="AN23" s="9">
        <f>AN22</f>
        <v>13.80352899999998</v>
      </c>
      <c r="AO23" s="21" t="s">
        <v>118</v>
      </c>
      <c r="AP23" s="22" t="s">
        <v>165</v>
      </c>
      <c r="AQ23" s="22" t="s">
        <v>171</v>
      </c>
      <c r="AR23" s="13" t="s">
        <v>123</v>
      </c>
      <c r="AS23" s="21" t="s">
        <v>188</v>
      </c>
      <c r="AT23" s="13" t="s">
        <v>130</v>
      </c>
      <c r="AU23" s="21" t="s">
        <v>176</v>
      </c>
    </row>
    <row r="24" spans="2:47" ht="14.4" customHeight="1" x14ac:dyDescent="0.3">
      <c r="B24" s="140"/>
      <c r="C24" s="128" t="s">
        <v>111</v>
      </c>
      <c r="D24" s="72">
        <f t="shared" si="0"/>
        <v>0</v>
      </c>
      <c r="E24" s="9">
        <f t="shared" si="1"/>
        <v>8.64</v>
      </c>
      <c r="F24" s="24">
        <f t="shared" si="2"/>
        <v>11.88</v>
      </c>
      <c r="G24" s="24">
        <f>AVERAGE(F24,H24)</f>
        <v>40.005278161770399</v>
      </c>
      <c r="H24" s="24">
        <f t="shared" si="3"/>
        <v>68.130556323540802</v>
      </c>
      <c r="I24" s="24">
        <f>AVERAGE(H24,J24)</f>
        <v>95.780545921173967</v>
      </c>
      <c r="J24" s="24">
        <f t="shared" si="4"/>
        <v>123.43053551880715</v>
      </c>
      <c r="K24" s="7"/>
      <c r="N24" s="127"/>
      <c r="O24" s="128" t="s">
        <v>111</v>
      </c>
      <c r="P24" s="9">
        <v>0</v>
      </c>
      <c r="Q24" s="9">
        <f>Q14</f>
        <v>3.24</v>
      </c>
      <c r="R24" s="9">
        <f>R14</f>
        <v>4.32</v>
      </c>
      <c r="S24" s="9">
        <f t="shared" si="5"/>
        <v>25.152850802924259</v>
      </c>
      <c r="T24" s="9">
        <f>'op_non-res'!C14</f>
        <v>45.985701605848519</v>
      </c>
      <c r="U24" s="9">
        <f t="shared" si="8"/>
        <v>70.904589562327857</v>
      </c>
      <c r="V24" s="9">
        <f>'op_non-res'!F14</f>
        <v>95.823477518807195</v>
      </c>
      <c r="W24" s="21" t="s">
        <v>118</v>
      </c>
      <c r="X24" s="15" t="s">
        <v>121</v>
      </c>
      <c r="Y24" s="15" t="s">
        <v>121</v>
      </c>
      <c r="Z24" s="13" t="s">
        <v>123</v>
      </c>
      <c r="AA24" s="14" t="s">
        <v>128</v>
      </c>
      <c r="AB24" s="13" t="s">
        <v>130</v>
      </c>
      <c r="AC24" s="14" t="s">
        <v>128</v>
      </c>
      <c r="AD24" s="11" t="s">
        <v>35</v>
      </c>
      <c r="AE24" s="127"/>
      <c r="AF24" s="128" t="s">
        <v>111</v>
      </c>
      <c r="AG24" s="124"/>
      <c r="AH24" s="9">
        <f>AH23</f>
        <v>0</v>
      </c>
      <c r="AI24" s="9">
        <f>AI14</f>
        <v>5.4</v>
      </c>
      <c r="AJ24" s="9">
        <f>AJ14</f>
        <v>7.5600000000000005</v>
      </c>
      <c r="AK24" s="9">
        <f t="shared" si="9"/>
        <v>14.852427358846139</v>
      </c>
      <c r="AL24" s="9">
        <f>AL21*2</f>
        <v>22.144854717692279</v>
      </c>
      <c r="AM24" s="9">
        <f t="shared" si="10"/>
        <v>24.875956358846118</v>
      </c>
      <c r="AN24" s="9">
        <f>AN21*2</f>
        <v>27.607057999999959</v>
      </c>
      <c r="AO24" s="21" t="s">
        <v>118</v>
      </c>
      <c r="AP24" s="22" t="s">
        <v>165</v>
      </c>
      <c r="AQ24" s="22" t="s">
        <v>171</v>
      </c>
      <c r="AR24" s="13" t="s">
        <v>123</v>
      </c>
      <c r="AS24" s="21" t="s">
        <v>189</v>
      </c>
      <c r="AT24" s="13" t="s">
        <v>130</v>
      </c>
      <c r="AU24" s="21" t="s">
        <v>177</v>
      </c>
    </row>
    <row r="25" spans="2:47" x14ac:dyDescent="0.3">
      <c r="Q25" s="6"/>
      <c r="W25" s="12"/>
      <c r="AB25" s="12"/>
      <c r="AC25" s="12"/>
      <c r="AE25" s="12"/>
    </row>
    <row r="26" spans="2:47" s="16" customFormat="1" x14ac:dyDescent="0.3">
      <c r="X26" s="38" t="s">
        <v>135</v>
      </c>
      <c r="Y26" s="12"/>
      <c r="Z26" s="39" t="s">
        <v>136</v>
      </c>
      <c r="AA26" s="12"/>
      <c r="AG26" s="11"/>
      <c r="AO26" s="41"/>
    </row>
    <row r="27" spans="2:47" s="16" customFormat="1" x14ac:dyDescent="0.3">
      <c r="X27" s="31" t="s">
        <v>132</v>
      </c>
      <c r="Z27" s="16" t="s">
        <v>124</v>
      </c>
      <c r="AA27" s="37" t="s">
        <v>125</v>
      </c>
    </row>
    <row r="28" spans="2:47" s="16" customFormat="1" x14ac:dyDescent="0.3">
      <c r="X28" s="32" t="s">
        <v>133</v>
      </c>
      <c r="Z28" s="16" t="s">
        <v>126</v>
      </c>
      <c r="AA28" s="37" t="s">
        <v>127</v>
      </c>
    </row>
    <row r="29" spans="2:47" s="16" customFormat="1" x14ac:dyDescent="0.3">
      <c r="X29" s="33" t="s">
        <v>134</v>
      </c>
      <c r="Z29" s="16" t="s">
        <v>143</v>
      </c>
      <c r="AA29" s="40" t="s">
        <v>144</v>
      </c>
    </row>
    <row r="30" spans="2:47" s="16" customFormat="1" x14ac:dyDescent="0.3">
      <c r="Z30" s="16" t="s">
        <v>145</v>
      </c>
      <c r="AA30" s="40" t="s">
        <v>146</v>
      </c>
    </row>
    <row r="31" spans="2:47" s="16" customFormat="1" x14ac:dyDescent="0.3"/>
    <row r="32" spans="2:47" s="16" customFormat="1" x14ac:dyDescent="0.3">
      <c r="E32" s="34"/>
      <c r="F32" s="34"/>
      <c r="G32" s="34"/>
      <c r="H32" s="34"/>
      <c r="I32" s="34"/>
      <c r="J32" s="34"/>
    </row>
    <row r="33" spans="2:12" s="16" customFormat="1" x14ac:dyDescent="0.3">
      <c r="B33" s="29"/>
      <c r="E33" s="30"/>
      <c r="F33" s="30"/>
      <c r="G33" s="30"/>
      <c r="H33" s="30"/>
      <c r="I33" s="30"/>
      <c r="J33" s="30"/>
      <c r="K33" s="30"/>
      <c r="L33" s="30"/>
    </row>
    <row r="34" spans="2:12" s="16" customFormat="1" x14ac:dyDescent="0.3">
      <c r="B34" s="29"/>
      <c r="E34" s="30"/>
      <c r="F34" s="30"/>
      <c r="G34" s="30"/>
      <c r="H34" s="30"/>
      <c r="I34" s="30"/>
      <c r="J34" s="30"/>
      <c r="K34" s="30"/>
      <c r="L34" s="30"/>
    </row>
    <row r="35" spans="2:12" s="16" customFormat="1" x14ac:dyDescent="0.3">
      <c r="B35" s="29"/>
      <c r="E35" s="30"/>
      <c r="F35" s="30"/>
      <c r="G35" s="30"/>
      <c r="H35" s="30"/>
      <c r="I35" s="30"/>
      <c r="J35" s="30"/>
      <c r="K35" s="30"/>
      <c r="L35" s="30"/>
    </row>
    <row r="36" spans="2:12" s="16" customFormat="1" x14ac:dyDescent="0.3">
      <c r="B36" s="29"/>
      <c r="E36" s="30"/>
      <c r="F36" s="30"/>
      <c r="G36" s="30"/>
      <c r="H36" s="30"/>
      <c r="I36" s="30"/>
      <c r="J36" s="30"/>
      <c r="K36" s="30"/>
      <c r="L36" s="30"/>
    </row>
    <row r="37" spans="2:12" s="16" customFormat="1" x14ac:dyDescent="0.3">
      <c r="B37" s="29"/>
      <c r="E37" s="30"/>
      <c r="F37" s="30"/>
      <c r="G37" s="30"/>
      <c r="H37" s="30"/>
      <c r="I37" s="30"/>
      <c r="J37" s="30"/>
      <c r="K37" s="30"/>
      <c r="L37" s="30"/>
    </row>
    <row r="38" spans="2:12" s="16" customFormat="1" x14ac:dyDescent="0.3">
      <c r="B38" s="29"/>
      <c r="E38" s="30"/>
      <c r="F38" s="30"/>
      <c r="G38" s="30"/>
      <c r="H38" s="30"/>
      <c r="I38" s="30"/>
      <c r="J38" s="30"/>
      <c r="K38" s="30"/>
      <c r="L38" s="30"/>
    </row>
    <row r="39" spans="2:12" s="16" customFormat="1" x14ac:dyDescent="0.3">
      <c r="B39" s="29"/>
      <c r="E39" s="30"/>
      <c r="F39" s="30"/>
      <c r="G39" s="30"/>
      <c r="H39" s="30"/>
      <c r="I39" s="30"/>
      <c r="J39" s="30"/>
      <c r="K39" s="30"/>
      <c r="L39" s="30"/>
    </row>
    <row r="40" spans="2:12" s="16" customFormat="1" x14ac:dyDescent="0.3">
      <c r="B40" s="29"/>
      <c r="E40" s="30"/>
      <c r="F40" s="30"/>
      <c r="G40" s="30"/>
      <c r="H40" s="30"/>
      <c r="I40" s="30"/>
      <c r="J40" s="30"/>
      <c r="K40" s="30"/>
      <c r="L40" s="30"/>
    </row>
    <row r="41" spans="2:12" s="16" customFormat="1" x14ac:dyDescent="0.3">
      <c r="B41" s="29"/>
      <c r="E41" s="30"/>
      <c r="F41" s="30"/>
      <c r="G41" s="30"/>
      <c r="H41" s="30"/>
      <c r="I41" s="30"/>
      <c r="J41" s="30"/>
      <c r="K41" s="30"/>
      <c r="L41" s="30"/>
    </row>
    <row r="42" spans="2:12" s="16" customFormat="1" x14ac:dyDescent="0.3">
      <c r="B42" s="29"/>
      <c r="E42" s="30"/>
      <c r="F42" s="30"/>
      <c r="G42" s="30"/>
      <c r="H42" s="30"/>
      <c r="I42" s="30"/>
      <c r="J42" s="30"/>
      <c r="K42" s="30"/>
      <c r="L42" s="30"/>
    </row>
    <row r="43" spans="2:12" s="16" customFormat="1" x14ac:dyDescent="0.3">
      <c r="B43" s="29"/>
      <c r="E43" s="30"/>
      <c r="F43" s="30"/>
      <c r="G43" s="30"/>
      <c r="H43" s="30"/>
      <c r="I43" s="30"/>
      <c r="J43" s="30"/>
      <c r="K43" s="30"/>
      <c r="L43" s="30"/>
    </row>
    <row r="44" spans="2:12" s="16" customFormat="1" x14ac:dyDescent="0.3">
      <c r="B44" s="29"/>
      <c r="E44" s="30"/>
      <c r="F44" s="30"/>
      <c r="G44" s="30"/>
      <c r="H44" s="30"/>
      <c r="I44" s="30"/>
      <c r="J44" s="30"/>
      <c r="K44" s="30"/>
      <c r="L44" s="30"/>
    </row>
    <row r="45" spans="2:12" s="16" customFormat="1" x14ac:dyDescent="0.3">
      <c r="B45" s="29"/>
      <c r="E45" s="30"/>
      <c r="F45" s="30"/>
      <c r="G45" s="30"/>
      <c r="H45" s="30"/>
      <c r="I45" s="30"/>
      <c r="J45" s="30"/>
      <c r="K45" s="30"/>
      <c r="L45" s="30"/>
    </row>
    <row r="46" spans="2:12" s="16" customFormat="1" x14ac:dyDescent="0.3"/>
    <row r="47" spans="2:12" s="16" customFormat="1" x14ac:dyDescent="0.3">
      <c r="E47" s="34"/>
      <c r="F47" s="34"/>
      <c r="G47" s="34"/>
      <c r="H47" s="34"/>
      <c r="I47" s="34"/>
      <c r="J47" s="34"/>
    </row>
    <row r="48" spans="2:12" s="16" customFormat="1" x14ac:dyDescent="0.3">
      <c r="B48" s="29"/>
      <c r="E48" s="30"/>
      <c r="F48" s="30"/>
      <c r="G48" s="30"/>
      <c r="H48" s="30"/>
      <c r="I48" s="30"/>
      <c r="J48" s="30"/>
      <c r="K48" s="30"/>
      <c r="L48" s="30"/>
    </row>
    <row r="49" spans="2:12" s="16" customFormat="1" x14ac:dyDescent="0.3">
      <c r="B49" s="29"/>
      <c r="E49" s="30"/>
      <c r="F49" s="30"/>
      <c r="G49" s="30"/>
      <c r="H49" s="30"/>
      <c r="I49" s="30"/>
      <c r="J49" s="30"/>
      <c r="K49" s="30"/>
      <c r="L49" s="30"/>
    </row>
    <row r="50" spans="2:12" s="16" customFormat="1" x14ac:dyDescent="0.3">
      <c r="B50" s="29"/>
      <c r="E50" s="30"/>
      <c r="F50" s="30"/>
      <c r="G50" s="30"/>
      <c r="H50" s="30"/>
      <c r="I50" s="30"/>
      <c r="J50" s="30"/>
      <c r="K50" s="30"/>
      <c r="L50" s="30"/>
    </row>
    <row r="51" spans="2:12" s="16" customFormat="1" x14ac:dyDescent="0.3">
      <c r="B51" s="29"/>
      <c r="E51" s="30"/>
      <c r="F51" s="30"/>
      <c r="G51" s="30"/>
      <c r="H51" s="30"/>
      <c r="I51" s="30"/>
      <c r="J51" s="30"/>
      <c r="K51" s="30"/>
      <c r="L51" s="30"/>
    </row>
    <row r="52" spans="2:12" s="16" customFormat="1" x14ac:dyDescent="0.3">
      <c r="B52" s="29"/>
      <c r="E52" s="30"/>
      <c r="F52" s="30"/>
      <c r="G52" s="30"/>
      <c r="H52" s="30"/>
      <c r="I52" s="30"/>
      <c r="J52" s="30"/>
      <c r="K52" s="30"/>
      <c r="L52" s="30"/>
    </row>
    <row r="53" spans="2:12" s="16" customFormat="1" x14ac:dyDescent="0.3">
      <c r="B53" s="29"/>
      <c r="E53" s="30"/>
      <c r="F53" s="30"/>
      <c r="G53" s="30"/>
      <c r="H53" s="30"/>
      <c r="I53" s="30"/>
      <c r="J53" s="30"/>
      <c r="K53" s="30"/>
      <c r="L53" s="30"/>
    </row>
    <row r="54" spans="2:12" s="16" customFormat="1" x14ac:dyDescent="0.3">
      <c r="B54" s="29"/>
      <c r="E54" s="30"/>
      <c r="F54" s="30"/>
      <c r="G54" s="30"/>
      <c r="H54" s="30"/>
      <c r="I54" s="30"/>
      <c r="J54" s="30"/>
      <c r="K54" s="30"/>
      <c r="L54" s="30"/>
    </row>
    <row r="55" spans="2:12" s="16" customFormat="1" x14ac:dyDescent="0.3">
      <c r="B55" s="29"/>
      <c r="E55" s="30"/>
      <c r="F55" s="30"/>
      <c r="G55" s="30"/>
      <c r="H55" s="30"/>
      <c r="I55" s="30"/>
      <c r="J55" s="30"/>
      <c r="K55" s="30"/>
      <c r="L55" s="30"/>
    </row>
    <row r="56" spans="2:12" s="16" customFormat="1" x14ac:dyDescent="0.3">
      <c r="B56" s="29"/>
      <c r="E56" s="30"/>
      <c r="F56" s="30"/>
      <c r="G56" s="30"/>
      <c r="H56" s="30"/>
      <c r="I56" s="30"/>
      <c r="J56" s="30"/>
      <c r="K56" s="30"/>
      <c r="L56" s="30"/>
    </row>
    <row r="57" spans="2:12" s="16" customFormat="1" x14ac:dyDescent="0.3">
      <c r="B57" s="29"/>
      <c r="E57" s="30"/>
      <c r="F57" s="30"/>
      <c r="G57" s="30"/>
      <c r="H57" s="30"/>
      <c r="I57" s="30"/>
      <c r="J57" s="30"/>
      <c r="K57" s="30"/>
      <c r="L57" s="30"/>
    </row>
    <row r="58" spans="2:12" s="16" customFormat="1" x14ac:dyDescent="0.3">
      <c r="B58" s="29"/>
      <c r="E58" s="30"/>
      <c r="F58" s="30"/>
      <c r="G58" s="30"/>
      <c r="H58" s="30"/>
      <c r="I58" s="30"/>
      <c r="J58" s="30"/>
      <c r="K58" s="30"/>
      <c r="L58" s="30"/>
    </row>
    <row r="59" spans="2:12" s="16" customFormat="1" x14ac:dyDescent="0.3">
      <c r="B59" s="29"/>
      <c r="E59" s="30"/>
      <c r="F59" s="30"/>
      <c r="G59" s="30"/>
      <c r="H59" s="30"/>
      <c r="I59" s="30"/>
      <c r="J59" s="30"/>
      <c r="K59" s="30"/>
      <c r="L59" s="30"/>
    </row>
    <row r="60" spans="2:12" s="16" customFormat="1" x14ac:dyDescent="0.3">
      <c r="B60" s="29"/>
      <c r="E60" s="30"/>
      <c r="F60" s="30"/>
      <c r="G60" s="30"/>
      <c r="H60" s="30"/>
      <c r="I60" s="30"/>
      <c r="J60" s="30"/>
      <c r="K60" s="30"/>
      <c r="L60" s="30"/>
    </row>
    <row r="61" spans="2:12" s="16" customFormat="1" x14ac:dyDescent="0.3">
      <c r="E61" s="30"/>
      <c r="F61" s="30"/>
      <c r="G61" s="30"/>
      <c r="H61" s="30"/>
      <c r="I61" s="30"/>
      <c r="J61" s="30"/>
      <c r="K61" s="30"/>
      <c r="L61" s="30"/>
    </row>
    <row r="62" spans="2:12" s="16" customFormat="1" x14ac:dyDescent="0.3"/>
    <row r="63" spans="2:12" s="16" customFormat="1" x14ac:dyDescent="0.3">
      <c r="E63" s="34"/>
      <c r="F63" s="34"/>
      <c r="G63" s="34"/>
      <c r="H63" s="34"/>
      <c r="I63" s="34"/>
      <c r="J63" s="34"/>
    </row>
    <row r="64" spans="2:12" s="16" customFormat="1" x14ac:dyDescent="0.3">
      <c r="B64" s="29"/>
      <c r="E64" s="30"/>
      <c r="F64" s="30"/>
      <c r="G64" s="30"/>
      <c r="H64" s="30"/>
      <c r="I64" s="30"/>
      <c r="J64" s="30"/>
      <c r="K64" s="30"/>
      <c r="L64" s="30"/>
    </row>
    <row r="65" spans="2:12" s="16" customFormat="1" x14ac:dyDescent="0.3">
      <c r="B65" s="29"/>
      <c r="E65" s="30"/>
      <c r="F65" s="30"/>
      <c r="G65" s="30"/>
      <c r="H65" s="30"/>
      <c r="I65" s="30"/>
      <c r="J65" s="30"/>
      <c r="K65" s="30"/>
      <c r="L65" s="30"/>
    </row>
    <row r="66" spans="2:12" s="16" customFormat="1" x14ac:dyDescent="0.3">
      <c r="B66" s="29"/>
      <c r="E66" s="30"/>
      <c r="F66" s="30"/>
      <c r="G66" s="30"/>
      <c r="H66" s="30"/>
      <c r="I66" s="30"/>
      <c r="J66" s="30"/>
      <c r="K66" s="30"/>
      <c r="L66" s="30"/>
    </row>
    <row r="67" spans="2:12" s="16" customFormat="1" x14ac:dyDescent="0.3">
      <c r="B67" s="29"/>
      <c r="E67" s="30"/>
      <c r="F67" s="30"/>
      <c r="G67" s="30"/>
      <c r="H67" s="30"/>
      <c r="I67" s="30"/>
      <c r="J67" s="30"/>
      <c r="K67" s="30"/>
      <c r="L67" s="30"/>
    </row>
    <row r="68" spans="2:12" s="16" customFormat="1" x14ac:dyDescent="0.3">
      <c r="B68" s="29"/>
      <c r="E68" s="30"/>
      <c r="F68" s="30"/>
      <c r="G68" s="30"/>
      <c r="H68" s="30"/>
      <c r="I68" s="30"/>
      <c r="J68" s="30"/>
      <c r="K68" s="30"/>
      <c r="L68" s="30"/>
    </row>
    <row r="69" spans="2:12" s="16" customFormat="1" x14ac:dyDescent="0.3">
      <c r="B69" s="29"/>
      <c r="E69" s="30"/>
      <c r="F69" s="30"/>
      <c r="G69" s="30"/>
      <c r="H69" s="30"/>
      <c r="I69" s="30"/>
      <c r="J69" s="30"/>
      <c r="K69" s="30"/>
      <c r="L69" s="30"/>
    </row>
    <row r="70" spans="2:12" s="16" customFormat="1" x14ac:dyDescent="0.3">
      <c r="B70" s="29"/>
      <c r="E70" s="30"/>
      <c r="F70" s="30"/>
      <c r="G70" s="30"/>
      <c r="H70" s="30"/>
      <c r="I70" s="30"/>
      <c r="J70" s="30"/>
      <c r="K70" s="30"/>
      <c r="L70" s="30"/>
    </row>
    <row r="71" spans="2:12" s="16" customFormat="1" x14ac:dyDescent="0.3">
      <c r="B71" s="29"/>
      <c r="E71" s="30"/>
      <c r="F71" s="30"/>
      <c r="G71" s="30"/>
      <c r="H71" s="30"/>
      <c r="I71" s="30"/>
      <c r="J71" s="30"/>
      <c r="K71" s="30"/>
      <c r="L71" s="30"/>
    </row>
    <row r="72" spans="2:12" s="16" customFormat="1" x14ac:dyDescent="0.3">
      <c r="B72" s="29"/>
      <c r="E72" s="30"/>
      <c r="F72" s="30"/>
      <c r="G72" s="30"/>
      <c r="H72" s="30"/>
      <c r="I72" s="30"/>
      <c r="J72" s="30"/>
      <c r="K72" s="30"/>
      <c r="L72" s="30"/>
    </row>
    <row r="73" spans="2:12" s="16" customFormat="1" x14ac:dyDescent="0.3">
      <c r="B73" s="29"/>
      <c r="E73" s="30"/>
      <c r="F73" s="30"/>
      <c r="G73" s="30"/>
      <c r="H73" s="30"/>
      <c r="I73" s="30"/>
      <c r="J73" s="30"/>
      <c r="K73" s="30"/>
      <c r="L73" s="30"/>
    </row>
    <row r="74" spans="2:12" s="16" customFormat="1" x14ac:dyDescent="0.3">
      <c r="B74" s="29"/>
      <c r="E74" s="30"/>
      <c r="F74" s="30"/>
      <c r="G74" s="30"/>
      <c r="H74" s="30"/>
      <c r="I74" s="30"/>
      <c r="J74" s="30"/>
      <c r="K74" s="30"/>
      <c r="L74" s="30"/>
    </row>
    <row r="75" spans="2:12" s="16" customFormat="1" x14ac:dyDescent="0.3">
      <c r="B75" s="29"/>
      <c r="E75" s="30"/>
      <c r="F75" s="30"/>
      <c r="G75" s="30"/>
      <c r="H75" s="30"/>
      <c r="I75" s="30"/>
      <c r="J75" s="30"/>
      <c r="K75" s="30"/>
      <c r="L75" s="30"/>
    </row>
    <row r="76" spans="2:12" s="16" customFormat="1" x14ac:dyDescent="0.3">
      <c r="B76" s="29"/>
      <c r="E76" s="30"/>
      <c r="F76" s="30"/>
      <c r="G76" s="30"/>
      <c r="H76" s="30"/>
      <c r="I76" s="30"/>
      <c r="J76" s="30"/>
      <c r="K76" s="30"/>
      <c r="L76" s="30"/>
    </row>
    <row r="77" spans="2:12" s="16" customFormat="1" x14ac:dyDescent="0.3"/>
    <row r="78" spans="2:12" s="16" customFormat="1" x14ac:dyDescent="0.3"/>
    <row r="79" spans="2:12" s="16" customFormat="1" x14ac:dyDescent="0.3"/>
    <row r="80" spans="2:12" s="16" customFormat="1" x14ac:dyDescent="0.3"/>
    <row r="81" spans="1:15" s="16" customFormat="1" x14ac:dyDescent="0.3"/>
    <row r="82" spans="1:15" s="16" customFormat="1" x14ac:dyDescent="0.3"/>
    <row r="83" spans="1:15" x14ac:dyDescent="0.3">
      <c r="A83" s="10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0"/>
      <c r="M83" s="10"/>
      <c r="N83" s="10"/>
      <c r="O83" s="10"/>
    </row>
    <row r="84" spans="1:15" x14ac:dyDescent="0.3">
      <c r="A84" s="10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0"/>
      <c r="M84" s="10"/>
      <c r="N84" s="10"/>
      <c r="O84" s="10"/>
    </row>
    <row r="85" spans="1:15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0"/>
    </row>
    <row r="87" spans="1:15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0"/>
    </row>
    <row r="88" spans="1:15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0"/>
    </row>
    <row r="89" spans="1:15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0"/>
    </row>
    <row r="90" spans="1:15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0"/>
    </row>
    <row r="91" spans="1:15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0"/>
    </row>
    <row r="92" spans="1:15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0"/>
    </row>
    <row r="93" spans="1:15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0"/>
    </row>
    <row r="94" spans="1:15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0"/>
    </row>
    <row r="95" spans="1:15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0"/>
    </row>
    <row r="96" spans="1:15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0"/>
    </row>
    <row r="97" spans="1:14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0"/>
    </row>
    <row r="98" spans="1:14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0"/>
    </row>
    <row r="99" spans="1:14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0"/>
    </row>
    <row r="100" spans="1:14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0"/>
    </row>
    <row r="101" spans="1:14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  <row r="158" spans="60:74" x14ac:dyDescent="0.3">
      <c r="BH158" s="42"/>
      <c r="BI158" s="42"/>
      <c r="BJ158" s="54" t="s">
        <v>28</v>
      </c>
      <c r="BK158" s="42"/>
      <c r="BL158" s="57" t="s">
        <v>29</v>
      </c>
      <c r="BM158" s="42"/>
      <c r="BN158" s="60" t="s">
        <v>30</v>
      </c>
      <c r="BO158" s="42"/>
      <c r="BP158" s="63" t="s">
        <v>31</v>
      </c>
      <c r="BQ158" s="42"/>
      <c r="BR158" s="66" t="s">
        <v>34</v>
      </c>
      <c r="BS158" s="42"/>
      <c r="BT158" s="46" t="s">
        <v>32</v>
      </c>
      <c r="BU158" s="42"/>
      <c r="BV158" s="49" t="s">
        <v>33</v>
      </c>
    </row>
    <row r="159" spans="60:74" s="5" customFormat="1" x14ac:dyDescent="0.3">
      <c r="BH159" s="43"/>
      <c r="BI159" s="52" t="s">
        <v>203</v>
      </c>
      <c r="BJ159" s="55"/>
      <c r="BK159" s="53" t="s">
        <v>204</v>
      </c>
      <c r="BL159" s="58"/>
      <c r="BM159" s="53" t="s">
        <v>205</v>
      </c>
      <c r="BN159" s="61"/>
      <c r="BO159" s="53" t="s">
        <v>207</v>
      </c>
      <c r="BP159" s="64"/>
      <c r="BQ159" s="53" t="s">
        <v>209</v>
      </c>
      <c r="BR159" s="67"/>
      <c r="BS159" s="53" t="s">
        <v>208</v>
      </c>
      <c r="BT159" s="47"/>
      <c r="BU159" s="53" t="s">
        <v>206</v>
      </c>
      <c r="BV159" s="50"/>
    </row>
    <row r="160" spans="60:74" s="5" customFormat="1" ht="14.4" customHeight="1" x14ac:dyDescent="0.3">
      <c r="BH160" s="43"/>
      <c r="BI160" s="52"/>
      <c r="BJ160" s="55"/>
      <c r="BK160" s="53"/>
      <c r="BL160" s="58"/>
      <c r="BM160" s="53"/>
      <c r="BN160" s="61"/>
      <c r="BO160" s="53"/>
      <c r="BP160" s="64"/>
      <c r="BQ160" s="53"/>
      <c r="BR160" s="67"/>
      <c r="BS160" s="53"/>
      <c r="BT160" s="47"/>
      <c r="BU160" s="53"/>
      <c r="BV160" s="50"/>
    </row>
    <row r="161" spans="60:74" s="5" customFormat="1" x14ac:dyDescent="0.3">
      <c r="BH161" s="43"/>
      <c r="BI161" s="52"/>
      <c r="BJ161" s="55"/>
      <c r="BK161" s="53"/>
      <c r="BL161" s="58"/>
      <c r="BM161" s="53"/>
      <c r="BN161" s="61"/>
      <c r="BO161" s="53"/>
      <c r="BP161" s="64"/>
      <c r="BQ161" s="53"/>
      <c r="BR161" s="67"/>
      <c r="BS161" s="53"/>
      <c r="BT161" s="47"/>
      <c r="BU161" s="53"/>
      <c r="BV161" s="50"/>
    </row>
    <row r="162" spans="60:74" ht="40.200000000000003" x14ac:dyDescent="0.3">
      <c r="BH162" s="45" t="str">
        <f>C13</f>
        <v>Multi-family houses</v>
      </c>
      <c r="BI162" s="44" t="str">
        <f>"op "&amp;P13&amp;CHAR(10)&amp;"emb "&amp;AH13&amp;CHAR(10)&amp;"wlc "&amp;D13</f>
        <v>op 0
emb 0
wlc 0</v>
      </c>
      <c r="BJ162" s="55"/>
      <c r="BK162" s="44" t="str">
        <f>"op "&amp;ROUNDUP(Q13,1)&amp;CHAR(10)&amp;"emb "&amp;ROUNDUP(AI13,1)&amp;CHAR(10)&amp;"wlc "&amp;ROUNDUP(E13,1)</f>
        <v>op 2.2
emb 5.4
wlc 7.6</v>
      </c>
      <c r="BL162" s="58"/>
      <c r="BM162" s="44" t="str">
        <f>"op "&amp;ROUNDUP(R13,1)&amp;CHAR(10)&amp;"emb "&amp;ROUNDUP(AJ13,1)&amp;CHAR(10)&amp;"wlc "&amp;ROUNDUP(F13,1)</f>
        <v>op 3.3
emb 7.6
wlc 10.8</v>
      </c>
      <c r="BN162" s="61"/>
      <c r="BO162" s="44" t="str">
        <f>"op "&amp;ROUNDUP(S13,1)&amp;CHAR(10)&amp;"emb "&amp;ROUNDUP(AK13,1)&amp;CHAR(10)&amp;"wlc "&amp;ROUNDUP(G13,1)</f>
        <v>op 14.9
emb 10.3
wlc 25.1</v>
      </c>
      <c r="BP162" s="64"/>
      <c r="BQ162" s="44" t="str">
        <f>"op "&amp;ROUNDUP(T13,1)&amp;CHAR(10)&amp;"emb "&amp;ROUNDUP(AL13,1)&amp;CHAR(10)&amp;"wlc "&amp;ROUNDUP(H13,1)</f>
        <v>op 26.6
emb 12.9
wlc 39.4</v>
      </c>
      <c r="BR162" s="67"/>
      <c r="BS162" s="44" t="str">
        <f>"op "&amp;ROUNDUP(U13,1)&amp;CHAR(10)&amp;"emb "&amp;ROUNDUP(AM13,1)&amp;CHAR(10)&amp;"wlc "&amp;ROUNDUP(I13,1)</f>
        <v>op 30.7
emb 16.3
wlc 46.9</v>
      </c>
      <c r="BT162" s="47"/>
      <c r="BU162" s="44" t="str">
        <f>"op "&amp;ROUNDUP(V13,1)&amp;CHAR(10)&amp;"emb "&amp;ROUNDUP(AN13,1)&amp;CHAR(10)&amp;"wlc "&amp;ROUNDUP(J13,1)</f>
        <v>op 34.9
emb 19.6
wlc 54.5</v>
      </c>
      <c r="BV162" s="50"/>
    </row>
    <row r="163" spans="60:74" ht="40.200000000000003" x14ac:dyDescent="0.3">
      <c r="BH163" s="45" t="str">
        <f>C12</f>
        <v>Single- and two-family houses</v>
      </c>
      <c r="BI163" s="44" t="str">
        <f>"op "&amp;P12&amp;CHAR(10)&amp;"emb "&amp;AH12&amp;CHAR(10)&amp;"wlc "&amp;D12</f>
        <v>op 0
emb 0
wlc 0</v>
      </c>
      <c r="BJ163" s="55"/>
      <c r="BK163" s="44" t="str">
        <f>"op "&amp;ROUNDUP(Q12,1)&amp;CHAR(10)&amp;"emb "&amp;ROUNDUP(AI12,1)&amp;CHAR(10)&amp;"wlc "&amp;ROUNDUP(E12,1)</f>
        <v>op 2.2
emb 5.4
wlc 7.6</v>
      </c>
      <c r="BL163" s="58"/>
      <c r="BM163" s="44" t="str">
        <f>"op "&amp;ROUNDUP(R12,1)&amp;CHAR(10)&amp;"emb "&amp;ROUNDUP(AJ12,1)&amp;CHAR(10)&amp;"wlc "&amp;ROUNDUP(F12,1)</f>
        <v>op 3.3
emb 7.6
wlc 10.8</v>
      </c>
      <c r="BN163" s="61"/>
      <c r="BO163" s="44" t="str">
        <f>"op "&amp;ROUNDUP(S12,1)&amp;CHAR(10)&amp;"emb "&amp;ROUNDUP(AK12,1)&amp;CHAR(10)&amp;"wlc "&amp;ROUNDUP(G12,1)</f>
        <v>op 18.7
emb 8.8
wlc 27.4</v>
      </c>
      <c r="BP163" s="64"/>
      <c r="BQ163" s="44" t="str">
        <f>"op "&amp;ROUNDUP(T12,1)&amp;CHAR(10)&amp;"emb "&amp;ROUNDUP(AL12,1)&amp;CHAR(10)&amp;"wlc "&amp;ROUNDUP(H12,1)</f>
        <v>op 34.1
emb 10
wlc 44</v>
      </c>
      <c r="BR163" s="67"/>
      <c r="BS163" s="44" t="str">
        <f>"op "&amp;ROUNDUP(U12,1)&amp;CHAR(10)&amp;"emb "&amp;ROUNDUP(AM12,1)&amp;CHAR(10)&amp;"wlc "&amp;ROUNDUP(I12,1)</f>
        <v>op 41.1
emb 11.6
wlc 52.7</v>
      </c>
      <c r="BT163" s="47"/>
      <c r="BU163" s="44" t="str">
        <f>"op "&amp;ROUNDUP(V12,1)&amp;CHAR(10)&amp;"emb "&amp;ROUNDUP(AN12,1)&amp;CHAR(10)&amp;"wlc "&amp;ROUNDUP(J12,1)</f>
        <v>op 48.2
emb 13.3
wlc 61.4</v>
      </c>
      <c r="BV163" s="50"/>
    </row>
    <row r="164" spans="60:74" ht="40.200000000000003" x14ac:dyDescent="0.3">
      <c r="BH164" s="45" t="str">
        <f>C21</f>
        <v>Trade Buildings</v>
      </c>
      <c r="BI164" s="44" t="str">
        <f>"op "&amp;P21&amp;CHAR(10)&amp;"emb "&amp;AH21&amp;CHAR(10)&amp;"wlc "&amp;D21</f>
        <v>op 0
emb 0
wlc 0</v>
      </c>
      <c r="BJ164" s="55"/>
      <c r="BK164" s="44" t="str">
        <f>"op "&amp;ROUNDUP(Q21,1)&amp;CHAR(10)&amp;"emb "&amp;ROUNDUP(AI21,1)&amp;CHAR(10)&amp;"wlc "&amp;ROUNDUP(E21,1)</f>
        <v>op 3.3
emb 5.4
wlc 8.7</v>
      </c>
      <c r="BL164" s="58"/>
      <c r="BM164" s="44" t="str">
        <f>"op "&amp;ROUNDUP(R21,1)&amp;CHAR(10)&amp;"emb "&amp;ROUNDUP(AJ21,1)&amp;CHAR(10)&amp;"wlc "&amp;ROUNDUP(F21,1)</f>
        <v>op 6.5
emb 7.6
wlc 14.1</v>
      </c>
      <c r="BN164" s="61"/>
      <c r="BO164" s="44" t="str">
        <f>"op "&amp;ROUNDUP(S21,1)&amp;CHAR(10)&amp;"emb "&amp;ROUNDUP(AK21,1)&amp;CHAR(10)&amp;"wlc "&amp;ROUNDUP(G21,1)</f>
        <v>op 24
emb 9.4
wlc 33.3</v>
      </c>
      <c r="BP164" s="64"/>
      <c r="BQ164" s="44" t="str">
        <f>"op "&amp;ROUNDUP(T21,1)&amp;CHAR(10)&amp;"emb "&amp;ROUNDUP(AL21,1)&amp;CHAR(10)&amp;"wlc "&amp;ROUNDUP(H21,1)</f>
        <v>op 41.4
emb 11.1
wlc 52.5</v>
      </c>
      <c r="BR164" s="67"/>
      <c r="BS164" s="44" t="str">
        <f>"op "&amp;ROUNDUP(U21,1)&amp;CHAR(10)&amp;"emb "&amp;ROUNDUP(AM21,1)&amp;CHAR(10)&amp;"wlc "&amp;ROUNDUP(I21,1)</f>
        <v>op 62.8
emb 12.5
wlc 75.2</v>
      </c>
      <c r="BT164" s="47"/>
      <c r="BU164" s="44" t="str">
        <f>"op "&amp;ROUNDUP(V21,1)&amp;CHAR(10)&amp;"emb "&amp;ROUNDUP(AN21,1)&amp;CHAR(10)&amp;"wlc "&amp;ROUNDUP(J21,1)</f>
        <v>op 84.2
emb 13.9
wlc 98</v>
      </c>
      <c r="BV164" s="50"/>
    </row>
    <row r="165" spans="60:74" ht="40.200000000000003" x14ac:dyDescent="0.3">
      <c r="BH165" s="45" t="str">
        <f>C14</f>
        <v>Office, Administrative or Government Buildings</v>
      </c>
      <c r="BI165" s="44" t="str">
        <f>"op "&amp;P14&amp;CHAR(10)&amp;"emb "&amp;AH14&amp;CHAR(10)&amp;"wlc "&amp;D14</f>
        <v>op 0
emb 0
wlc 0</v>
      </c>
      <c r="BJ165" s="55"/>
      <c r="BK165" s="44" t="str">
        <f>"op "&amp;ROUNDUP(Q14,1)&amp;CHAR(10)&amp;"emb "&amp;ROUNDUP(AI14,1)&amp;CHAR(10)&amp;"wlc "&amp;ROUNDUP(E14,1)</f>
        <v>op 3.3
emb 5.4
wlc 8.7</v>
      </c>
      <c r="BL165" s="58"/>
      <c r="BM165" s="44" t="str">
        <f>"op "&amp;ROUNDUP(R14,1)&amp;CHAR(10)&amp;"emb "&amp;ROUNDUP(AJ14,1)&amp;CHAR(10)&amp;"wlc "&amp;ROUNDUP(F14,1)</f>
        <v>op 4.4
emb 7.6
wlc 11.9</v>
      </c>
      <c r="BN165" s="61"/>
      <c r="BO165" s="44" t="str">
        <f>"op "&amp;ROUNDUP(S14,1)&amp;CHAR(10)&amp;"emb "&amp;ROUNDUP(AK14,1)&amp;CHAR(10)&amp;"wlc "&amp;ROUNDUP(G14,1)</f>
        <v>op 22
emb 9.6
wlc 31.5</v>
      </c>
      <c r="BP165" s="64"/>
      <c r="BQ165" s="44" t="str">
        <f>"op "&amp;ROUNDUP(T14,1)&amp;CHAR(10)&amp;"emb "&amp;ROUNDUP(AL14,1)&amp;CHAR(10)&amp;"wlc "&amp;ROUNDUP(H14,1)</f>
        <v>op 39.6
emb 11.5
wlc 51</v>
      </c>
      <c r="BR165" s="67"/>
      <c r="BS165" s="44" t="str">
        <f>"op "&amp;ROUNDUP(U14,1)&amp;CHAR(10)&amp;"emb "&amp;ROUNDUP(AM14,1)&amp;CHAR(10)&amp;"wlc "&amp;ROUNDUP(I14,1)</f>
        <v>op 60.3
emb 14.8
wlc 75</v>
      </c>
      <c r="BT165" s="47"/>
      <c r="BU165" s="44" t="str">
        <f>"op "&amp;ROUNDUP(V14,1)&amp;CHAR(10)&amp;"emb "&amp;ROUNDUP(AN14,1)&amp;CHAR(10)&amp;"wlc "&amp;ROUNDUP(J14,1)</f>
        <v>op 81.1
emb 18
wlc 99.1</v>
      </c>
      <c r="BV165" s="50"/>
    </row>
    <row r="166" spans="60:74" ht="40.200000000000003" x14ac:dyDescent="0.3">
      <c r="BH166" s="45" t="str">
        <f>C19</f>
        <v>Sports Facilities</v>
      </c>
      <c r="BI166" s="44" t="str">
        <f>"op "&amp;P19&amp;CHAR(10)&amp;"emb "&amp;AH19&amp;CHAR(10)&amp;"wlc "&amp;D19</f>
        <v>op 0
emb 0
wlc 0</v>
      </c>
      <c r="BJ166" s="55"/>
      <c r="BK166" s="44" t="str">
        <f>"op "&amp;ROUNDUP(Q19,1)&amp;CHAR(10)&amp;"emb "&amp;ROUNDUP(AI19,1)&amp;CHAR(10)&amp;"wlc "&amp;ROUNDUP(E19,1)</f>
        <v>op 2.6
emb 5.4
wlc 8</v>
      </c>
      <c r="BL166" s="58"/>
      <c r="BM166" s="44" t="str">
        <f>"op "&amp;ROUNDUP(R19,1)&amp;CHAR(10)&amp;"emb "&amp;ROUNDUP(AJ19,1)&amp;CHAR(10)&amp;"wlc "&amp;ROUNDUP(F19,1)</f>
        <v>op 3.6
emb 7.6
wlc 11.2</v>
      </c>
      <c r="BN166" s="61"/>
      <c r="BO166" s="44" t="str">
        <f>"op "&amp;ROUNDUP(S19,1)&amp;CHAR(10)&amp;"emb "&amp;ROUNDUP(AK19,1)&amp;CHAR(10)&amp;"wlc "&amp;ROUNDUP(G19,1)</f>
        <v>op 21.4
emb 11.7
wlc 33</v>
      </c>
      <c r="BP166" s="64"/>
      <c r="BQ166" s="44" t="str">
        <f>"op "&amp;ROUNDUP(T19,1)&amp;CHAR(10)&amp;"emb "&amp;ROUNDUP(AL19,1)&amp;CHAR(10)&amp;"wlc "&amp;ROUNDUP(H19,1)</f>
        <v>op 39.2
emb 15.7
wlc 54.8</v>
      </c>
      <c r="BR166" s="67"/>
      <c r="BS166" s="44" t="str">
        <f>"op "&amp;ROUNDUP(U19,1)&amp;CHAR(10)&amp;"emb "&amp;ROUNDUP(AM19,1)&amp;CHAR(10)&amp;"wlc "&amp;ROUNDUP(I19,1)</f>
        <v>op 59.2
emb 18
wlc 77.1</v>
      </c>
      <c r="BT166" s="47"/>
      <c r="BU166" s="44" t="str">
        <f>"op "&amp;ROUNDUP(V19,1)&amp;CHAR(10)&amp;"emb "&amp;ROUNDUP(AN19,1)&amp;CHAR(10)&amp;"wlc "&amp;ROUNDUP(J19,1)</f>
        <v>op 79.3
emb 20.2
wlc 99.4</v>
      </c>
      <c r="BV166" s="50"/>
    </row>
    <row r="167" spans="60:74" ht="40.200000000000003" x14ac:dyDescent="0.3">
      <c r="BH167" s="45" t="str">
        <f>C23</f>
        <v>Technical and Utility Buildings (supply and disposal)</v>
      </c>
      <c r="BI167" s="44" t="str">
        <f>"op "&amp;P23&amp;CHAR(10)&amp;"emb "&amp;AH23&amp;CHAR(10)&amp;"wlc "&amp;D23</f>
        <v>op 0
emb 0
wlc 0</v>
      </c>
      <c r="BJ167" s="55"/>
      <c r="BK167" s="44" t="str">
        <f>"op "&amp;ROUNDUP(Q23,1)&amp;CHAR(10)&amp;"emb "&amp;ROUNDUP(AI23,1)&amp;CHAR(10)&amp;"wlc "&amp;ROUNDUP(E23,1)</f>
        <v>op 3.3
emb 5.4
wlc 8.7</v>
      </c>
      <c r="BL167" s="58"/>
      <c r="BM167" s="44" t="str">
        <f>"op "&amp;ROUNDUP(R23,1)&amp;CHAR(10)&amp;"emb "&amp;ROUNDUP(AJ23,1)&amp;CHAR(10)&amp;"wlc "&amp;ROUNDUP(F23,1)</f>
        <v>op 4.4
emb 7.6
wlc 11.9</v>
      </c>
      <c r="BN167" s="61"/>
      <c r="BO167" s="44" t="str">
        <f>"op "&amp;ROUNDUP(S23,1)&amp;CHAR(10)&amp;"emb "&amp;ROUNDUP(AK23,1)&amp;CHAR(10)&amp;"wlc "&amp;ROUNDUP(G23,1)</f>
        <v>op 25.4
emb 9.4
wlc 34.7</v>
      </c>
      <c r="BP167" s="64"/>
      <c r="BQ167" s="44" t="str">
        <f>"op "&amp;ROUNDUP(T23,1)&amp;CHAR(10)&amp;"emb "&amp;ROUNDUP(AL23,1)&amp;CHAR(10)&amp;"wlc "&amp;ROUNDUP(H23,1)</f>
        <v>op 46.4
emb 11.1
wlc 57.5</v>
      </c>
      <c r="BR167" s="67"/>
      <c r="BS167" s="44" t="str">
        <f>"op "&amp;ROUNDUP(U23,1)&amp;CHAR(10)&amp;"emb "&amp;ROUNDUP(AM23,1)&amp;CHAR(10)&amp;"wlc "&amp;ROUNDUP(I23,1)</f>
        <v>op 68.3
emb 12.5
wlc 80.7</v>
      </c>
      <c r="BT167" s="47"/>
      <c r="BU167" s="44" t="str">
        <f>"op "&amp;ROUNDUP(V23,1)&amp;CHAR(10)&amp;"emb "&amp;ROUNDUP(AN23,1)&amp;CHAR(10)&amp;"wlc "&amp;ROUNDUP(J23,1)</f>
        <v>op 90.1
emb 13.9
wlc 103.9</v>
      </c>
      <c r="BV167" s="50"/>
    </row>
    <row r="168" spans="60:74" ht="40.200000000000003" x14ac:dyDescent="0.3">
      <c r="BH168" s="45" t="str">
        <f>C17</f>
        <v>School, Day Nursery and other Care Buildings</v>
      </c>
      <c r="BI168" s="44" t="str">
        <f>"op "&amp;P17&amp;CHAR(10)&amp;"emb "&amp;AH17&amp;CHAR(10)&amp;"wlc "&amp;D17</f>
        <v>op 0
emb 0
wlc 0</v>
      </c>
      <c r="BJ168" s="55"/>
      <c r="BK168" s="44" t="str">
        <f>"op "&amp;ROUNDUP(Q17,1)&amp;CHAR(10)&amp;"emb "&amp;ROUNDUP(AI17,1)&amp;CHAR(10)&amp;"wlc "&amp;ROUNDUP(E17,1)</f>
        <v>op 2.6
emb 5.4
wlc 8</v>
      </c>
      <c r="BL168" s="58"/>
      <c r="BM168" s="44" t="str">
        <f>"op "&amp;ROUNDUP(R17,1)&amp;CHAR(10)&amp;"emb "&amp;ROUNDUP(AJ17,1)&amp;CHAR(10)&amp;"wlc "&amp;ROUNDUP(F17,1)</f>
        <v>op 3.6
emb 7.6
wlc 11.2</v>
      </c>
      <c r="BN168" s="61"/>
      <c r="BO168" s="44" t="str">
        <f>"op "&amp;ROUNDUP(S17,1)&amp;CHAR(10)&amp;"emb "&amp;ROUNDUP(AK17,1)&amp;CHAR(10)&amp;"wlc "&amp;ROUNDUP(G17,1)</f>
        <v>op 24.5
emb 10.8
wlc 35.2</v>
      </c>
      <c r="BP168" s="64"/>
      <c r="BQ168" s="44" t="str">
        <f>"op "&amp;ROUNDUP(T17,1)&amp;CHAR(10)&amp;"emb "&amp;ROUNDUP(AL17,1)&amp;CHAR(10)&amp;"wlc "&amp;ROUNDUP(H17,1)</f>
        <v>op 45.4
emb 13.9
wlc 59.2</v>
      </c>
      <c r="BR168" s="67"/>
      <c r="BS168" s="44" t="str">
        <f>"op "&amp;ROUNDUP(U17,1)&amp;CHAR(10)&amp;"emb "&amp;ROUNDUP(AM17,1)&amp;CHAR(10)&amp;"wlc "&amp;ROUNDUP(I17,1)</f>
        <v>op 66.5
emb 20.4
wlc 86.8</v>
      </c>
      <c r="BT168" s="47"/>
      <c r="BU168" s="44" t="str">
        <f>"op "&amp;ROUNDUP(V17,1)&amp;CHAR(10)&amp;"emb "&amp;ROUNDUP(AN17,1)&amp;CHAR(10)&amp;"wlc "&amp;ROUNDUP(J17,1)</f>
        <v>op 87.5
emb 26.9
wlc 114.4</v>
      </c>
      <c r="BV168" s="50"/>
    </row>
    <row r="169" spans="60:74" ht="40.200000000000003" x14ac:dyDescent="0.3">
      <c r="BH169" s="45" t="str">
        <f>C24</f>
        <v>Transport Buildings</v>
      </c>
      <c r="BI169" s="44" t="str">
        <f>"op "&amp;P24&amp;CHAR(10)&amp;"emb "&amp;AH24&amp;CHAR(10)&amp;"wlc "&amp;D24</f>
        <v>op 0
emb 0
wlc 0</v>
      </c>
      <c r="BJ169" s="55"/>
      <c r="BK169" s="44" t="str">
        <f>"op "&amp;ROUNDUP(Q24,1)&amp;CHAR(10)&amp;"emb "&amp;ROUNDUP(AI24,1)&amp;CHAR(10)&amp;"wlc "&amp;ROUNDUP(E24,1)</f>
        <v>op 3.3
emb 5.4
wlc 8.7</v>
      </c>
      <c r="BL169" s="58"/>
      <c r="BM169" s="44" t="str">
        <f>"op "&amp;ROUNDUP(R24,1)&amp;CHAR(10)&amp;"emb "&amp;ROUNDUP(AJ24,1)&amp;CHAR(10)&amp;"wlc "&amp;ROUNDUP(F24,1)</f>
        <v>op 4.4
emb 7.6
wlc 11.9</v>
      </c>
      <c r="BN169" s="61"/>
      <c r="BO169" s="44" t="str">
        <f>"op "&amp;ROUNDUP(S24,1)&amp;CHAR(10)&amp;"emb "&amp;ROUNDUP(AK24,1)&amp;CHAR(10)&amp;"wlc "&amp;ROUNDUP(G24,1)</f>
        <v>op 25.2
emb 14.9
wlc 40.1</v>
      </c>
      <c r="BP169" s="64"/>
      <c r="BQ169" s="44" t="str">
        <f>"op "&amp;ROUNDUP(T24,1)&amp;CHAR(10)&amp;"emb "&amp;ROUNDUP(AL24,1)&amp;CHAR(10)&amp;"wlc "&amp;ROUNDUP(H24,1)</f>
        <v>op 46
emb 22.2
wlc 68.2</v>
      </c>
      <c r="BR169" s="67"/>
      <c r="BS169" s="44" t="str">
        <f>"op "&amp;ROUNDUP(U24,1)&amp;CHAR(10)&amp;"emb "&amp;ROUNDUP(AM24,1)&amp;CHAR(10)&amp;"wlc "&amp;ROUNDUP(I24,1)</f>
        <v>op 71
emb 24.9
wlc 95.8</v>
      </c>
      <c r="BT169" s="47"/>
      <c r="BU169" s="44" t="str">
        <f>"op "&amp;ROUNDUP(V24,1)&amp;CHAR(10)&amp;"emb "&amp;ROUNDUP(AN24,1)&amp;CHAR(10)&amp;"wlc "&amp;ROUNDUP(J24,1)</f>
        <v>op 95.9
emb 27.7
wlc 123.5</v>
      </c>
      <c r="BV169" s="50"/>
    </row>
    <row r="170" spans="60:74" ht="40.200000000000003" x14ac:dyDescent="0.3">
      <c r="BH170" s="45" t="str">
        <f>C16</f>
        <v>Buildings for Health and Care</v>
      </c>
      <c r="BI170" s="44" t="str">
        <f>"op "&amp;P16&amp;CHAR(10)&amp;"emb "&amp;AH16&amp;CHAR(10)&amp;"wlc "&amp;D16</f>
        <v>op 0
emb 0
wlc 0</v>
      </c>
      <c r="BJ170" s="55"/>
      <c r="BK170" s="44" t="str">
        <f>"op "&amp;ROUNDUP(Q16,1)&amp;CHAR(10)&amp;"emb "&amp;ROUNDUP(AI16,1)&amp;CHAR(10)&amp;"wlc "&amp;ROUNDUP(E16,1)</f>
        <v>op 6.5
emb 5.4
wlc 11.9</v>
      </c>
      <c r="BL170" s="58"/>
      <c r="BM170" s="44" t="str">
        <f>"op "&amp;ROUNDUP(R16,1)&amp;CHAR(10)&amp;"emb "&amp;ROUNDUP(AJ16,1)&amp;CHAR(10)&amp;"wlc "&amp;ROUNDUP(F16,1)</f>
        <v>op 8.7
emb 7.6
wlc 16.2</v>
      </c>
      <c r="BN170" s="61"/>
      <c r="BO170" s="44" t="str">
        <f>"op "&amp;ROUNDUP(S16,1)&amp;CHAR(10)&amp;"emb "&amp;ROUNDUP(AK16,1)&amp;CHAR(10)&amp;"wlc "&amp;ROUNDUP(G16,1)</f>
        <v>op 32.5
emb 11.6
wlc 44.1</v>
      </c>
      <c r="BP170" s="64"/>
      <c r="BQ170" s="44" t="str">
        <f>"op "&amp;ROUNDUP(T16,1)&amp;CHAR(10)&amp;"emb "&amp;ROUNDUP(AL16,1)&amp;CHAR(10)&amp;"wlc "&amp;ROUNDUP(H16,1)</f>
        <v>op 56.4
emb 15.6
wlc 71.9</v>
      </c>
      <c r="BR170" s="67"/>
      <c r="BS170" s="44" t="str">
        <f>"op "&amp;ROUNDUP(U16,1)&amp;CHAR(10)&amp;"emb "&amp;ROUNDUP(AM16,1)&amp;CHAR(10)&amp;"wlc "&amp;ROUNDUP(I16,1)</f>
        <v>op 86.5
emb 18.4
wlc 104.9</v>
      </c>
      <c r="BT170" s="47"/>
      <c r="BU170" s="44" t="str">
        <f>"op "&amp;ROUNDUP(V16,1)&amp;CHAR(10)&amp;"emb "&amp;ROUNDUP(AN16,1)&amp;CHAR(10)&amp;"wlc "&amp;ROUNDUP(J16,1)</f>
        <v>op 116.6
emb 21.3
wlc 137.8</v>
      </c>
      <c r="BV170" s="50"/>
    </row>
    <row r="171" spans="60:74" ht="40.200000000000003" x14ac:dyDescent="0.3">
      <c r="BH171" s="45" t="str">
        <f>C15</f>
        <v>Buildings for Research and University Teaching</v>
      </c>
      <c r="BI171" s="44" t="str">
        <f>"op "&amp;P15&amp;CHAR(10)&amp;"emb "&amp;AH15&amp;CHAR(10)&amp;"wlc "&amp;D15</f>
        <v>op 0
emb 0
wlc 0</v>
      </c>
      <c r="BJ171" s="55"/>
      <c r="BK171" s="44" t="str">
        <f>"op "&amp;ROUNDUP(Q15,1)&amp;CHAR(10)&amp;"emb "&amp;ROUNDUP(AI15,1)&amp;CHAR(10)&amp;"wlc "&amp;ROUNDUP(E15,1)</f>
        <v>op 2.7
emb 5.4
wlc 8.1</v>
      </c>
      <c r="BL171" s="58"/>
      <c r="BM171" s="44" t="str">
        <f>"op "&amp;ROUNDUP(R15,1)&amp;CHAR(10)&amp;"emb "&amp;ROUNDUP(AJ15,1)&amp;CHAR(10)&amp;"wlc "&amp;ROUNDUP(F15,1)</f>
        <v>op 3.8
emb 7.6
wlc 11.4</v>
      </c>
      <c r="BN171" s="61"/>
      <c r="BO171" s="44" t="str">
        <f>"op "&amp;ROUNDUP(S15,1)&amp;CHAR(10)&amp;"emb "&amp;ROUNDUP(AK15,1)&amp;CHAR(10)&amp;"wlc "&amp;ROUNDUP(G15,1)</f>
        <v>op 28.9
emb 10.2
wlc 39</v>
      </c>
      <c r="BP171" s="64"/>
      <c r="BQ171" s="44" t="str">
        <f>"op "&amp;ROUNDUP(T15,1)&amp;CHAR(10)&amp;"emb "&amp;ROUNDUP(AL15,1)&amp;CHAR(10)&amp;"wlc "&amp;ROUNDUP(H15,1)</f>
        <v>op 54
emb 12.7
wlc 66.7</v>
      </c>
      <c r="BR171" s="67"/>
      <c r="BS171" s="44" t="str">
        <f>"op "&amp;ROUNDUP(U15,1)&amp;CHAR(10)&amp;"emb "&amp;ROUNDUP(AM15,1)&amp;CHAR(10)&amp;"wlc "&amp;ROUNDUP(I15,1)</f>
        <v>op 87.5
emb 17.6
wlc 105.1</v>
      </c>
      <c r="BT171" s="47"/>
      <c r="BU171" s="44" t="str">
        <f>"op "&amp;ROUNDUP(V15,1)&amp;CHAR(10)&amp;"emb "&amp;ROUNDUP(AN15,1)&amp;CHAR(10)&amp;"wlc "&amp;ROUNDUP(J15,1)</f>
        <v>op 121.1
emb 22.5
wlc 143.5</v>
      </c>
      <c r="BV171" s="50"/>
    </row>
    <row r="172" spans="60:74" ht="40.200000000000003" x14ac:dyDescent="0.3">
      <c r="BH172" s="45" t="str">
        <f t="shared" ref="BH172" si="11">C22</f>
        <v>Production, Workshop, Warehouse or Operations</v>
      </c>
      <c r="BI172" s="44" t="str">
        <f t="shared" ref="BI172" si="12">"op "&amp;P22&amp;CHAR(10)&amp;"emb "&amp;AH22&amp;CHAR(10)&amp;"wlc "&amp;D22</f>
        <v>op 0
emb 0
wlc 0</v>
      </c>
      <c r="BJ172" s="55"/>
      <c r="BK172" s="44" t="str">
        <f t="shared" ref="BK172" si="13">"op "&amp;ROUNDUP(Q22,1)&amp;CHAR(10)&amp;"emb "&amp;ROUNDUP(AI22,1)&amp;CHAR(10)&amp;"wlc "&amp;ROUNDUP(E22,1)</f>
        <v>op 3.3
emb 5.4
wlc 8.7</v>
      </c>
      <c r="BL172" s="58"/>
      <c r="BM172" s="44" t="str">
        <f t="shared" ref="BM172" si="14">"op "&amp;ROUNDUP(R22,1)&amp;CHAR(10)&amp;"emb "&amp;ROUNDUP(AJ22,1)&amp;CHAR(10)&amp;"wlc "&amp;ROUNDUP(F22,1)</f>
        <v>op 4.4
emb 7.6
wlc 11.9</v>
      </c>
      <c r="BN172" s="61"/>
      <c r="BO172" s="44" t="str">
        <f t="shared" ref="BO172" si="15">"op "&amp;ROUNDUP(S22,1)&amp;CHAR(10)&amp;"emb "&amp;ROUNDUP(AK22,1)&amp;CHAR(10)&amp;"wlc "&amp;ROUNDUP(G22,1)</f>
        <v>op 35.5
emb 9.4
wlc 44.8</v>
      </c>
      <c r="BP172" s="64"/>
      <c r="BQ172" s="44" t="str">
        <f t="shared" ref="BQ172" si="16">"op "&amp;ROUNDUP(T22,1)&amp;CHAR(10)&amp;"emb "&amp;ROUNDUP(AL22,1)&amp;CHAR(10)&amp;"wlc "&amp;ROUNDUP(H22,1)</f>
        <v>op 66.6
emb 11.1
wlc 77.7</v>
      </c>
      <c r="BR172" s="67"/>
      <c r="BS172" s="44" t="str">
        <f t="shared" ref="BS172" si="17">"op "&amp;ROUNDUP(U22,1)&amp;CHAR(10)&amp;"emb "&amp;ROUNDUP(AM22,1)&amp;CHAR(10)&amp;"wlc "&amp;ROUNDUP(I22,1)</f>
        <v>op 114.1
emb 12.5
wlc 126.6</v>
      </c>
      <c r="BT172" s="47"/>
      <c r="BU172" s="44" t="str">
        <f t="shared" ref="BU172" si="18">"op "&amp;ROUNDUP(V22,1)&amp;CHAR(10)&amp;"emb "&amp;ROUNDUP(AN22,1)&amp;CHAR(10)&amp;"wlc "&amp;ROUNDUP(J22,1)</f>
        <v>op 161.7
emb 13.9
wlc 175.5</v>
      </c>
      <c r="BV172" s="50"/>
    </row>
    <row r="173" spans="60:74" ht="40.200000000000003" x14ac:dyDescent="0.3">
      <c r="BH173" s="45" t="str">
        <f>C20</f>
        <v>Hotels, Boarding, Restaurants or Catering</v>
      </c>
      <c r="BI173" s="44" t="str">
        <f>"op "&amp;P20&amp;CHAR(10)&amp;"emb "&amp;AH20&amp;CHAR(10)&amp;"wlc "&amp;D20</f>
        <v>op 0
emb 0
wlc 0</v>
      </c>
      <c r="BJ173" s="55"/>
      <c r="BK173" s="44" t="str">
        <f>"op "&amp;ROUNDUP(Q20,1)&amp;CHAR(10)&amp;"emb "&amp;ROUNDUP(AI20,1)&amp;CHAR(10)&amp;"wlc "&amp;ROUNDUP(E20,1)</f>
        <v>op 6.5
emb 5.4
wlc 11.9</v>
      </c>
      <c r="BL173" s="58"/>
      <c r="BM173" s="44" t="str">
        <f>"op "&amp;ROUNDUP(R20,1)&amp;CHAR(10)&amp;"emb "&amp;ROUNDUP(AJ20,1)&amp;CHAR(10)&amp;"wlc "&amp;ROUNDUP(F20,1)</f>
        <v>op 8.7
emb 7.6
wlc 16.2</v>
      </c>
      <c r="BN173" s="61"/>
      <c r="BO173" s="44" t="str">
        <f>"op "&amp;ROUNDUP(S20,1)&amp;CHAR(10)&amp;"emb "&amp;ROUNDUP(AK20,1)&amp;CHAR(10)&amp;"wlc "&amp;ROUNDUP(G20,1)</f>
        <v>op 37.4
emb 11.6
wlc 48.9</v>
      </c>
      <c r="BP173" s="64"/>
      <c r="BQ173" s="44" t="str">
        <f>"op "&amp;ROUNDUP(T20,1)&amp;CHAR(10)&amp;"emb "&amp;ROUNDUP(AL20,1)&amp;CHAR(10)&amp;"wlc "&amp;ROUNDUP(H20,1)</f>
        <v>op 66
emb 15.6
wlc 81.6</v>
      </c>
      <c r="BR173" s="67"/>
      <c r="BS173" s="44" t="str">
        <f>"op "&amp;ROUNDUP(U20,1)&amp;CHAR(10)&amp;"emb "&amp;ROUNDUP(AM20,1)&amp;CHAR(10)&amp;"wlc "&amp;ROUNDUP(I20,1)</f>
        <v>op 113.1
emb 18.4
wlc 131.5</v>
      </c>
      <c r="BT173" s="47"/>
      <c r="BU173" s="44" t="str">
        <f>"op "&amp;ROUNDUP(V20,1)&amp;CHAR(10)&amp;"emb "&amp;ROUNDUP(AN20,1)&amp;CHAR(10)&amp;"wlc "&amp;ROUNDUP(J20,1)</f>
        <v>op 160.2
emb 21.3
wlc 181.4</v>
      </c>
      <c r="BV173" s="50"/>
    </row>
    <row r="174" spans="60:74" ht="40.200000000000003" x14ac:dyDescent="0.3">
      <c r="BH174" s="45" t="str">
        <f>C18</f>
        <v>Buildings for Culture and Leisure</v>
      </c>
      <c r="BI174" s="44" t="str">
        <f>"op "&amp;P18&amp;CHAR(10)&amp;"emb "&amp;AH18&amp;CHAR(10)&amp;"wlc "&amp;D18</f>
        <v>op 0
emb 0
wlc 0</v>
      </c>
      <c r="BJ174" s="56"/>
      <c r="BK174" s="44" t="str">
        <f>"op "&amp;ROUNDUP(Q18,1)&amp;CHAR(10)&amp;"emb "&amp;ROUNDUP(AI18,1)&amp;CHAR(10)&amp;"wlc "&amp;ROUNDUP(E18,1)</f>
        <v>op 2.6
emb 5.4
wlc 8</v>
      </c>
      <c r="BL174" s="59"/>
      <c r="BM174" s="44" t="str">
        <f>"op "&amp;ROUNDUP(R18,1)&amp;CHAR(10)&amp;"emb "&amp;ROUNDUP(AJ18,1)&amp;CHAR(10)&amp;"wlc "&amp;ROUNDUP(F18,1)</f>
        <v>op 3.6
emb 7.6
wlc 11.2</v>
      </c>
      <c r="BN174" s="62"/>
      <c r="BO174" s="44" t="str">
        <f>"op "&amp;ROUNDUP(S18,1)&amp;CHAR(10)&amp;"emb "&amp;ROUNDUP(AK18,1)&amp;CHAR(10)&amp;"wlc "&amp;ROUNDUP(G18,1)</f>
        <v>op 32.2
emb 10.8
wlc 42.9</v>
      </c>
      <c r="BP174" s="65"/>
      <c r="BQ174" s="44" t="str">
        <f>"op "&amp;ROUNDUP(T18,1)&amp;CHAR(10)&amp;"emb "&amp;ROUNDUP(AL18,1)&amp;CHAR(10)&amp;"wlc "&amp;ROUNDUP(H18,1)</f>
        <v>op 60.7
emb 13.9
wlc 74.5</v>
      </c>
      <c r="BR174" s="68"/>
      <c r="BS174" s="44" t="str">
        <f>"op "&amp;ROUNDUP(U18,1)&amp;CHAR(10)&amp;"emb "&amp;ROUNDUP(AM18,1)&amp;CHAR(10)&amp;"wlc "&amp;ROUNDUP(I18,1)</f>
        <v>op 114
emb 20.4
wlc 134.3</v>
      </c>
      <c r="BT174" s="48"/>
      <c r="BU174" s="44" t="str">
        <f>"op "&amp;ROUNDUP(V18,1)&amp;CHAR(10)&amp;"emb "&amp;ROUNDUP(AN18,1)&amp;CHAR(10)&amp;"wlc "&amp;ROUNDUP(J18,1)</f>
        <v>op 167.3
emb 26.9
wlc 194.1</v>
      </c>
      <c r="BV174" s="51"/>
    </row>
  </sheetData>
  <mergeCells count="27">
    <mergeCell ref="BT158:BT174"/>
    <mergeCell ref="BV158:BV174"/>
    <mergeCell ref="BI159:BI161"/>
    <mergeCell ref="BK159:BK161"/>
    <mergeCell ref="BM159:BM161"/>
    <mergeCell ref="BO159:BO161"/>
    <mergeCell ref="BQ159:BQ161"/>
    <mergeCell ref="BS159:BS161"/>
    <mergeCell ref="BU159:BU161"/>
    <mergeCell ref="BJ158:BJ174"/>
    <mergeCell ref="BL158:BL174"/>
    <mergeCell ref="BN158:BN174"/>
    <mergeCell ref="BP158:BP174"/>
    <mergeCell ref="BR158:BR174"/>
    <mergeCell ref="AO10:AU10"/>
    <mergeCell ref="W10:AC10"/>
    <mergeCell ref="B10:J10"/>
    <mergeCell ref="N10:V10"/>
    <mergeCell ref="AE10:AN10"/>
    <mergeCell ref="N11:O11"/>
    <mergeCell ref="AE11:AF11"/>
    <mergeCell ref="N12:N13"/>
    <mergeCell ref="AE12:AE13"/>
    <mergeCell ref="N14:N24"/>
    <mergeCell ref="AE14:AE24"/>
    <mergeCell ref="B14:B24"/>
    <mergeCell ref="B12:B13"/>
  </mergeCells>
  <phoneticPr fontId="1" type="noConversion"/>
  <conditionalFormatting sqref="K22:L24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  <ignoredErrors>
    <ignoredError sqref="AL16:AL17 I12 G12 H12 AL13:AL14 I13:I24 G13:G24 H13:H24 AL21 AL1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5C46-A22D-47AF-BBBE-B8EDAFA7B6C1}">
  <dimension ref="A1:F23"/>
  <sheetViews>
    <sheetView zoomScaleNormal="100" workbookViewId="0">
      <selection activeCell="C35" sqref="C35"/>
    </sheetView>
  </sheetViews>
  <sheetFormatPr defaultRowHeight="14.4" x14ac:dyDescent="0.3"/>
  <cols>
    <col min="1" max="1" width="12.109375" customWidth="1"/>
    <col min="2" max="2" width="13.21875" customWidth="1"/>
    <col min="3" max="3" width="12.109375" customWidth="1"/>
    <col min="4" max="6" width="12.77734375" customWidth="1"/>
  </cols>
  <sheetData>
    <row r="1" spans="1:6" ht="24" customHeight="1" x14ac:dyDescent="0.3">
      <c r="A1" s="113" t="s">
        <v>117</v>
      </c>
      <c r="B1" s="113"/>
      <c r="C1" s="113"/>
      <c r="D1" s="120" t="s">
        <v>214</v>
      </c>
      <c r="E1" s="120"/>
      <c r="F1" s="120"/>
    </row>
    <row r="2" spans="1:6" ht="24" customHeight="1" x14ac:dyDescent="0.3">
      <c r="A2" s="113"/>
      <c r="B2" s="113"/>
      <c r="C2" s="113"/>
      <c r="D2" s="120" t="s">
        <v>215</v>
      </c>
      <c r="E2" s="120"/>
      <c r="F2" s="120"/>
    </row>
    <row r="3" spans="1:6" ht="24" customHeight="1" x14ac:dyDescent="0.3">
      <c r="A3" s="113"/>
      <c r="B3" s="113"/>
      <c r="C3" s="113"/>
      <c r="D3" s="120"/>
      <c r="E3" s="120"/>
      <c r="F3" s="120"/>
    </row>
    <row r="4" spans="1:6" ht="52.2" customHeight="1" x14ac:dyDescent="0.3">
      <c r="A4" s="121" t="s">
        <v>216</v>
      </c>
      <c r="B4" s="121" t="s">
        <v>217</v>
      </c>
      <c r="C4" s="121" t="s">
        <v>218</v>
      </c>
      <c r="D4" s="126" t="s">
        <v>210</v>
      </c>
      <c r="E4" s="126" t="s">
        <v>211</v>
      </c>
      <c r="F4" s="126" t="s">
        <v>212</v>
      </c>
    </row>
    <row r="5" spans="1:6" x14ac:dyDescent="0.3">
      <c r="A5" s="130" t="s">
        <v>0</v>
      </c>
      <c r="B5" s="132" t="s">
        <v>219</v>
      </c>
      <c r="C5" s="114" t="s">
        <v>225</v>
      </c>
      <c r="D5" s="131">
        <v>7.5600000000000005</v>
      </c>
      <c r="E5" s="131">
        <v>3.24</v>
      </c>
      <c r="F5" s="131">
        <v>10.8</v>
      </c>
    </row>
    <row r="6" spans="1:6" x14ac:dyDescent="0.3">
      <c r="A6" s="130"/>
      <c r="B6" s="132"/>
      <c r="C6" s="114" t="s">
        <v>226</v>
      </c>
      <c r="D6" s="131">
        <v>5.4</v>
      </c>
      <c r="E6" s="131">
        <v>2.16</v>
      </c>
      <c r="F6" s="131">
        <v>7.5600000000000005</v>
      </c>
    </row>
    <row r="7" spans="1:6" x14ac:dyDescent="0.3">
      <c r="A7" s="130" t="s">
        <v>72</v>
      </c>
      <c r="B7" s="132" t="s">
        <v>5</v>
      </c>
      <c r="C7" s="114" t="s">
        <v>225</v>
      </c>
      <c r="D7" s="131">
        <v>7.5600000000000005</v>
      </c>
      <c r="E7" s="131">
        <v>4.32</v>
      </c>
      <c r="F7" s="131">
        <v>11.88</v>
      </c>
    </row>
    <row r="8" spans="1:6" x14ac:dyDescent="0.3">
      <c r="A8" s="130"/>
      <c r="B8" s="132"/>
      <c r="C8" s="114" t="s">
        <v>226</v>
      </c>
      <c r="D8" s="131">
        <v>5.4</v>
      </c>
      <c r="E8" s="131">
        <v>3.24</v>
      </c>
      <c r="F8" s="131">
        <v>8.64</v>
      </c>
    </row>
    <row r="9" spans="1:6" x14ac:dyDescent="0.3">
      <c r="A9" s="130" t="s">
        <v>78</v>
      </c>
      <c r="B9" s="132" t="s">
        <v>220</v>
      </c>
      <c r="C9" s="114" t="s">
        <v>225</v>
      </c>
      <c r="D9" s="131">
        <v>7.5600000000000005</v>
      </c>
      <c r="E9" s="131">
        <v>3.24</v>
      </c>
      <c r="F9" s="131">
        <v>10.8</v>
      </c>
    </row>
    <row r="10" spans="1:6" x14ac:dyDescent="0.3">
      <c r="A10" s="130"/>
      <c r="B10" s="132"/>
      <c r="C10" s="114" t="s">
        <v>226</v>
      </c>
      <c r="D10" s="131">
        <v>5.4</v>
      </c>
      <c r="E10" s="131">
        <v>2.16</v>
      </c>
      <c r="F10" s="131">
        <v>7.5600000000000005</v>
      </c>
    </row>
    <row r="11" spans="1:6" x14ac:dyDescent="0.3">
      <c r="A11" s="130" t="s">
        <v>73</v>
      </c>
      <c r="B11" s="132" t="s">
        <v>221</v>
      </c>
      <c r="C11" s="114" t="s">
        <v>225</v>
      </c>
      <c r="D11" s="131">
        <v>7.5600000000000005</v>
      </c>
      <c r="E11" s="131">
        <v>3.24</v>
      </c>
      <c r="F11" s="131">
        <v>10.8</v>
      </c>
    </row>
    <row r="12" spans="1:6" x14ac:dyDescent="0.3">
      <c r="A12" s="130"/>
      <c r="B12" s="132"/>
      <c r="C12" s="114" t="s">
        <v>226</v>
      </c>
      <c r="D12" s="131">
        <v>5.4</v>
      </c>
      <c r="E12" s="131">
        <v>2.16</v>
      </c>
      <c r="F12" s="131">
        <v>7.5600000000000005</v>
      </c>
    </row>
    <row r="13" spans="1:6" x14ac:dyDescent="0.3">
      <c r="A13" s="130" t="s">
        <v>74</v>
      </c>
      <c r="B13" s="132" t="s">
        <v>222</v>
      </c>
      <c r="C13" s="114" t="s">
        <v>225</v>
      </c>
      <c r="D13" s="131">
        <v>7.5600000000000005</v>
      </c>
      <c r="E13" s="131">
        <v>4.32</v>
      </c>
      <c r="F13" s="131">
        <v>11.88</v>
      </c>
    </row>
    <row r="14" spans="1:6" x14ac:dyDescent="0.3">
      <c r="A14" s="130"/>
      <c r="B14" s="132"/>
      <c r="C14" s="114" t="s">
        <v>226</v>
      </c>
      <c r="D14" s="131">
        <v>5.4</v>
      </c>
      <c r="E14" s="131">
        <v>3.24</v>
      </c>
      <c r="F14" s="131">
        <v>8.64</v>
      </c>
    </row>
    <row r="15" spans="1:6" x14ac:dyDescent="0.3">
      <c r="A15" s="130" t="s">
        <v>75</v>
      </c>
      <c r="B15" s="132" t="s">
        <v>223</v>
      </c>
      <c r="C15" s="114" t="s">
        <v>225</v>
      </c>
      <c r="D15" s="131">
        <v>7.5600000000000005</v>
      </c>
      <c r="E15" s="131">
        <v>6.48</v>
      </c>
      <c r="F15" s="131">
        <v>14.040000000000001</v>
      </c>
    </row>
    <row r="16" spans="1:6" x14ac:dyDescent="0.3">
      <c r="A16" s="130"/>
      <c r="B16" s="132"/>
      <c r="C16" s="114" t="s">
        <v>226</v>
      </c>
      <c r="D16" s="131">
        <v>5.4</v>
      </c>
      <c r="E16" s="131">
        <v>3.24</v>
      </c>
      <c r="F16" s="131">
        <v>8.64</v>
      </c>
    </row>
    <row r="17" spans="1:6" x14ac:dyDescent="0.3">
      <c r="A17" s="130" t="s">
        <v>76</v>
      </c>
      <c r="B17" s="132" t="s">
        <v>224</v>
      </c>
      <c r="C17" s="114" t="s">
        <v>225</v>
      </c>
      <c r="D17" s="131">
        <v>7.5600000000000005</v>
      </c>
      <c r="E17" s="131">
        <v>30.24</v>
      </c>
      <c r="F17" s="131">
        <v>37.799999999999997</v>
      </c>
    </row>
    <row r="18" spans="1:6" x14ac:dyDescent="0.3">
      <c r="A18" s="130"/>
      <c r="B18" s="132"/>
      <c r="C18" s="114" t="s">
        <v>226</v>
      </c>
      <c r="D18" s="131">
        <v>5.4</v>
      </c>
      <c r="E18" s="131">
        <v>18.36</v>
      </c>
      <c r="F18" s="131">
        <v>23.759999999999998</v>
      </c>
    </row>
    <row r="19" spans="1:6" x14ac:dyDescent="0.3">
      <c r="A19" s="130" t="s">
        <v>77</v>
      </c>
      <c r="B19" s="132" t="s">
        <v>77</v>
      </c>
      <c r="C19" s="114" t="s">
        <v>225</v>
      </c>
      <c r="D19" s="131">
        <v>7.5600000000000005</v>
      </c>
      <c r="E19" s="131">
        <v>8.64</v>
      </c>
      <c r="F19" s="131">
        <v>16.200000000000003</v>
      </c>
    </row>
    <row r="20" spans="1:6" x14ac:dyDescent="0.3">
      <c r="A20" s="130"/>
      <c r="B20" s="132"/>
      <c r="C20" s="114" t="s">
        <v>226</v>
      </c>
      <c r="D20" s="131">
        <v>5.4</v>
      </c>
      <c r="E20" s="131">
        <v>6.48</v>
      </c>
      <c r="F20" s="131">
        <v>11.879999999999999</v>
      </c>
    </row>
    <row r="23" spans="1:6" x14ac:dyDescent="0.3">
      <c r="A23" t="s">
        <v>213</v>
      </c>
    </row>
  </sheetData>
  <mergeCells count="19">
    <mergeCell ref="A15:A16"/>
    <mergeCell ref="A17:A18"/>
    <mergeCell ref="A19:A20"/>
    <mergeCell ref="A5:A6"/>
    <mergeCell ref="A7:A8"/>
    <mergeCell ref="A9:A10"/>
    <mergeCell ref="A11:A12"/>
    <mergeCell ref="A13:A14"/>
    <mergeCell ref="A1:C3"/>
    <mergeCell ref="D1:F1"/>
    <mergeCell ref="B5:B6"/>
    <mergeCell ref="B7:B8"/>
    <mergeCell ref="B9:B10"/>
    <mergeCell ref="B11:B12"/>
    <mergeCell ref="B13:B14"/>
    <mergeCell ref="B15:B16"/>
    <mergeCell ref="B17:B18"/>
    <mergeCell ref="B19:B20"/>
    <mergeCell ref="D2:F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EE8F-9DC8-41D9-B31D-E47842B35AE7}">
  <dimension ref="A1:G17"/>
  <sheetViews>
    <sheetView workbookViewId="0">
      <selection activeCell="F3" sqref="F3"/>
    </sheetView>
  </sheetViews>
  <sheetFormatPr defaultColWidth="9.109375" defaultRowHeight="14.4" x14ac:dyDescent="0.3"/>
  <cols>
    <col min="6" max="6" width="15.109375" customWidth="1"/>
    <col min="7" max="7" width="81.109375" bestFit="1" customWidth="1"/>
  </cols>
  <sheetData>
    <row r="1" spans="1:7" ht="15.6" x14ac:dyDescent="0.3">
      <c r="A1" s="8" t="s">
        <v>70</v>
      </c>
    </row>
    <row r="2" spans="1:7" x14ac:dyDescent="0.3">
      <c r="A2" t="s">
        <v>199</v>
      </c>
    </row>
    <row r="3" spans="1:7" ht="28.8" x14ac:dyDescent="0.3">
      <c r="A3" s="133" t="s">
        <v>45</v>
      </c>
      <c r="B3" s="133" t="s">
        <v>46</v>
      </c>
      <c r="C3" s="133" t="s">
        <v>47</v>
      </c>
      <c r="D3" s="133" t="s">
        <v>48</v>
      </c>
      <c r="E3" s="133" t="s">
        <v>49</v>
      </c>
      <c r="F3" s="135" t="s">
        <v>202</v>
      </c>
      <c r="G3" s="133" t="s">
        <v>50</v>
      </c>
    </row>
    <row r="4" spans="1:7" x14ac:dyDescent="0.3">
      <c r="A4" s="134" t="s">
        <v>51</v>
      </c>
      <c r="B4" s="2">
        <v>76.105317861632628</v>
      </c>
      <c r="C4" s="2">
        <v>65.990408054247766</v>
      </c>
      <c r="D4" s="2">
        <v>8.8903652586694033</v>
      </c>
      <c r="E4" s="2">
        <v>304.51410490675607</v>
      </c>
      <c r="F4" s="2">
        <v>160.11653465880821</v>
      </c>
      <c r="G4" s="2" t="s">
        <v>52</v>
      </c>
    </row>
    <row r="5" spans="1:7" x14ac:dyDescent="0.3">
      <c r="A5" s="134" t="s">
        <v>53</v>
      </c>
      <c r="B5" s="2">
        <v>71.519158329924679</v>
      </c>
      <c r="C5" s="2">
        <v>60.610761217678693</v>
      </c>
      <c r="D5" s="2">
        <v>11.67955966333543</v>
      </c>
      <c r="E5" s="2">
        <v>254.06385934453601</v>
      </c>
      <c r="F5" s="2">
        <v>167.24429943936451</v>
      </c>
      <c r="G5" s="2" t="s">
        <v>24</v>
      </c>
    </row>
    <row r="6" spans="1:7" x14ac:dyDescent="0.3">
      <c r="A6" s="134" t="s">
        <v>54</v>
      </c>
      <c r="B6" s="2">
        <v>60.999744616410901</v>
      </c>
      <c r="C6" s="2">
        <v>56.327655522057782</v>
      </c>
      <c r="D6" s="2">
        <v>9.7257691664062715</v>
      </c>
      <c r="E6" s="2">
        <v>168.45713670419789</v>
      </c>
      <c r="F6" s="2">
        <v>116.5709631270305</v>
      </c>
      <c r="G6" s="2" t="s">
        <v>39</v>
      </c>
    </row>
    <row r="7" spans="1:7" x14ac:dyDescent="0.3">
      <c r="A7" s="134" t="s">
        <v>55</v>
      </c>
      <c r="B7" s="2">
        <v>43.868052473163061</v>
      </c>
      <c r="C7" s="2">
        <v>39.524124522764879</v>
      </c>
      <c r="D7" s="2">
        <v>9.3860809876928979</v>
      </c>
      <c r="E7" s="2">
        <v>298.3064157203932</v>
      </c>
      <c r="F7" s="2">
        <v>81.008639613279314</v>
      </c>
      <c r="G7" s="2" t="s">
        <v>23</v>
      </c>
    </row>
    <row r="8" spans="1:7" x14ac:dyDescent="0.3">
      <c r="A8" s="134" t="s">
        <v>56</v>
      </c>
      <c r="B8" s="2">
        <v>66.366625662691646</v>
      </c>
      <c r="C8" s="2">
        <v>66.572027200397855</v>
      </c>
      <c r="D8" s="2">
        <v>7.0422524357771117</v>
      </c>
      <c r="E8" s="2">
        <v>406.91834930541449</v>
      </c>
      <c r="F8" s="2">
        <v>161.60142427696809</v>
      </c>
      <c r="G8" s="2" t="s">
        <v>26</v>
      </c>
    </row>
    <row r="9" spans="1:7" x14ac:dyDescent="0.3">
      <c r="A9" s="134" t="s">
        <v>57</v>
      </c>
      <c r="B9" s="2">
        <v>58.397090503294329</v>
      </c>
      <c r="C9" s="2">
        <v>53.9581790336388</v>
      </c>
      <c r="D9" s="2">
        <v>14.325472214970469</v>
      </c>
      <c r="E9" s="2">
        <v>159.93077446831231</v>
      </c>
      <c r="F9" s="2">
        <v>121.01163079258831</v>
      </c>
      <c r="G9" s="2" t="s">
        <v>38</v>
      </c>
    </row>
    <row r="10" spans="1:7" x14ac:dyDescent="0.3">
      <c r="A10" s="134" t="s">
        <v>58</v>
      </c>
      <c r="B10" s="2">
        <v>43.384351294256007</v>
      </c>
      <c r="C10" s="2">
        <v>39.116877230607017</v>
      </c>
      <c r="D10" s="2">
        <v>8.013968132134444</v>
      </c>
      <c r="E10" s="2">
        <v>183.02081770013851</v>
      </c>
      <c r="F10" s="2">
        <v>79.220520947674174</v>
      </c>
      <c r="G10" s="2" t="s">
        <v>40</v>
      </c>
    </row>
    <row r="11" spans="1:7" x14ac:dyDescent="0.3">
      <c r="A11" s="134" t="s">
        <v>59</v>
      </c>
      <c r="B11" s="2">
        <v>47.649515881731062</v>
      </c>
      <c r="C11" s="2">
        <v>45.328113726453388</v>
      </c>
      <c r="D11" s="2">
        <v>6.9584235574011046</v>
      </c>
      <c r="E11" s="2">
        <v>146.8060344988383</v>
      </c>
      <c r="F11" s="2">
        <v>87.485915831105359</v>
      </c>
      <c r="G11" s="2" t="s">
        <v>60</v>
      </c>
    </row>
    <row r="12" spans="1:7" x14ac:dyDescent="0.3">
      <c r="A12" s="134" t="s">
        <v>61</v>
      </c>
      <c r="B12" s="2">
        <v>53.483973381728802</v>
      </c>
      <c r="C12" s="2">
        <v>46.344433119906398</v>
      </c>
      <c r="D12" s="2">
        <v>14.740816155457891</v>
      </c>
      <c r="E12" s="2">
        <v>186.93968524452461</v>
      </c>
      <c r="F12" s="2">
        <v>90.078222253938435</v>
      </c>
      <c r="G12" s="2" t="s">
        <v>41</v>
      </c>
    </row>
    <row r="13" spans="1:7" x14ac:dyDescent="0.3">
      <c r="A13" s="134" t="s">
        <v>62</v>
      </c>
      <c r="B13" s="2">
        <v>46.034674358384002</v>
      </c>
      <c r="C13" s="2">
        <v>41.389913808126202</v>
      </c>
      <c r="D13" s="2">
        <v>9.0661673168624048</v>
      </c>
      <c r="E13" s="2">
        <v>198.87570914151911</v>
      </c>
      <c r="F13" s="2">
        <v>84.10304324225514</v>
      </c>
      <c r="G13" s="2" t="s">
        <v>25</v>
      </c>
    </row>
    <row r="14" spans="1:7" x14ac:dyDescent="0.3">
      <c r="A14" s="134" t="s">
        <v>63</v>
      </c>
      <c r="B14" s="2">
        <v>50.998497802266229</v>
      </c>
      <c r="C14" s="2">
        <v>45.985701605848519</v>
      </c>
      <c r="D14" s="2">
        <v>14.513716847465879</v>
      </c>
      <c r="E14" s="2">
        <v>121.6170052972858</v>
      </c>
      <c r="F14" s="2">
        <v>95.823477518807195</v>
      </c>
      <c r="G14" s="2" t="s">
        <v>42</v>
      </c>
    </row>
    <row r="17" spans="1:1" x14ac:dyDescent="0.3">
      <c r="A17" t="s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A0F9-5FC8-435D-9B36-97B354B40137}">
  <dimension ref="B2:W40"/>
  <sheetViews>
    <sheetView topLeftCell="A21" workbookViewId="0">
      <selection activeCell="B41" sqref="B41"/>
    </sheetView>
  </sheetViews>
  <sheetFormatPr defaultRowHeight="14.4" x14ac:dyDescent="0.3"/>
  <cols>
    <col min="2" max="2" width="12.88671875" bestFit="1" customWidth="1"/>
    <col min="3" max="3" width="20.6640625" customWidth="1"/>
    <col min="6" max="6" width="15.88671875" customWidth="1"/>
    <col min="7" max="7" width="17" customWidth="1"/>
  </cols>
  <sheetData>
    <row r="2" spans="2:23" ht="28.2" customHeight="1" x14ac:dyDescent="0.3">
      <c r="H2" s="83" t="s">
        <v>228</v>
      </c>
      <c r="I2" s="83" t="s">
        <v>22</v>
      </c>
      <c r="P2" s="111" t="s">
        <v>230</v>
      </c>
      <c r="Q2" s="111"/>
      <c r="R2" s="73"/>
    </row>
    <row r="3" spans="2:23" ht="55.2" customHeight="1" x14ac:dyDescent="0.3">
      <c r="H3" s="84" t="s">
        <v>229</v>
      </c>
      <c r="I3" s="84"/>
      <c r="P3" s="104" t="s">
        <v>232</v>
      </c>
      <c r="Q3" s="104" t="s">
        <v>233</v>
      </c>
      <c r="R3" s="104" t="s">
        <v>234</v>
      </c>
      <c r="S3" s="105" t="s">
        <v>236</v>
      </c>
      <c r="T3" s="105" t="s">
        <v>237</v>
      </c>
      <c r="U3" s="106" t="s">
        <v>238</v>
      </c>
      <c r="V3" s="106"/>
      <c r="W3" s="106"/>
    </row>
    <row r="4" spans="2:23" x14ac:dyDescent="0.3">
      <c r="B4" s="78" t="s">
        <v>231</v>
      </c>
      <c r="C4" s="78"/>
      <c r="D4" s="78"/>
      <c r="E4" s="78"/>
      <c r="F4" s="78"/>
      <c r="G4" s="82"/>
      <c r="H4" s="79"/>
      <c r="I4" s="79"/>
      <c r="N4" s="107" t="s">
        <v>231</v>
      </c>
      <c r="O4" s="108"/>
      <c r="P4" s="74" t="s">
        <v>95</v>
      </c>
      <c r="Q4" s="74" t="s">
        <v>95</v>
      </c>
      <c r="R4" s="74" t="s">
        <v>95</v>
      </c>
      <c r="S4" s="75" t="s">
        <v>235</v>
      </c>
      <c r="T4" s="74" t="s">
        <v>95</v>
      </c>
      <c r="U4" s="74" t="s">
        <v>99</v>
      </c>
      <c r="V4" s="74" t="s">
        <v>100</v>
      </c>
      <c r="W4" s="74" t="s">
        <v>98</v>
      </c>
    </row>
    <row r="5" spans="2:23" x14ac:dyDescent="0.3">
      <c r="B5" s="93" t="s">
        <v>240</v>
      </c>
      <c r="C5" s="93" t="s">
        <v>92</v>
      </c>
      <c r="D5" s="93" t="s">
        <v>92</v>
      </c>
      <c r="E5" s="93" t="s">
        <v>92</v>
      </c>
      <c r="F5" s="93" t="s">
        <v>92</v>
      </c>
      <c r="G5" s="94"/>
      <c r="H5" s="95"/>
      <c r="I5" s="95"/>
      <c r="N5" s="109" t="s">
        <v>228</v>
      </c>
      <c r="O5" s="110" t="s">
        <v>261</v>
      </c>
      <c r="P5" s="2">
        <v>179.84387805414332</v>
      </c>
      <c r="Q5" s="2">
        <v>11</v>
      </c>
      <c r="R5" s="1">
        <v>5.2667882952991869</v>
      </c>
      <c r="S5" s="4">
        <f t="shared" ref="S5:S10" si="0">P5+Q5</f>
        <v>190.84387805414332</v>
      </c>
      <c r="T5" s="4">
        <f>S5/C$36</f>
        <v>194.73865107565646</v>
      </c>
      <c r="U5" s="4">
        <f>T5*$C$30/1000+R5*C$34/1000</f>
        <v>62.296626349533007</v>
      </c>
      <c r="V5" s="4">
        <f t="shared" ref="V5:V10" si="1">U5/1.1</f>
        <v>56.633296681393638</v>
      </c>
      <c r="W5" s="76">
        <f t="shared" ref="W5:W10" si="2">V5*0.85</f>
        <v>48.138302179184592</v>
      </c>
    </row>
    <row r="6" spans="2:23" x14ac:dyDescent="0.3">
      <c r="B6" s="85" t="s">
        <v>241</v>
      </c>
      <c r="C6" s="85"/>
      <c r="D6" s="85"/>
      <c r="E6" s="85"/>
      <c r="F6" s="85"/>
      <c r="G6" s="80" t="s">
        <v>93</v>
      </c>
      <c r="H6" s="96">
        <v>2377.0679331018223</v>
      </c>
      <c r="I6" s="96">
        <v>1682.858557540909</v>
      </c>
      <c r="N6" s="109"/>
      <c r="O6" s="110" t="s">
        <v>96</v>
      </c>
      <c r="P6" s="2">
        <v>133.63285074014715</v>
      </c>
      <c r="Q6" s="2">
        <v>11.000000000000004</v>
      </c>
      <c r="R6" s="1">
        <v>5.1259155818362245</v>
      </c>
      <c r="S6" s="4">
        <f t="shared" si="0"/>
        <v>144.63285074014715</v>
      </c>
      <c r="T6" s="4">
        <f>S6/C$36</f>
        <v>147.58454157157874</v>
      </c>
      <c r="U6" s="4">
        <f>T6*$C$30/1000+R6*C$34/1000</f>
        <v>47.62729299014147</v>
      </c>
      <c r="V6" s="4">
        <f t="shared" si="1"/>
        <v>43.297539081946788</v>
      </c>
      <c r="W6" s="4">
        <f t="shared" si="2"/>
        <v>36.802908219654768</v>
      </c>
    </row>
    <row r="7" spans="2:23" x14ac:dyDescent="0.3">
      <c r="B7" s="93" t="s">
        <v>242</v>
      </c>
      <c r="C7" s="93" t="s">
        <v>94</v>
      </c>
      <c r="D7" s="93" t="s">
        <v>94</v>
      </c>
      <c r="E7" s="93" t="s">
        <v>94</v>
      </c>
      <c r="F7" s="93" t="s">
        <v>94</v>
      </c>
      <c r="G7" s="95"/>
      <c r="H7" s="95"/>
      <c r="I7" s="95"/>
      <c r="N7" s="109"/>
      <c r="O7" s="110" t="s">
        <v>97</v>
      </c>
      <c r="P7" s="2">
        <v>69.581200395253731</v>
      </c>
      <c r="Q7" s="2">
        <v>11</v>
      </c>
      <c r="R7" s="1">
        <v>4.7913833738785154</v>
      </c>
      <c r="S7" s="4">
        <f t="shared" si="0"/>
        <v>80.581200395253731</v>
      </c>
      <c r="T7" s="4">
        <f>S7/C$36</f>
        <v>82.225714689034419</v>
      </c>
      <c r="U7" s="4">
        <f>T7*$C$30/1000+R7*C$34/1000</f>
        <v>27.243617868440204</v>
      </c>
      <c r="V7" s="4">
        <f t="shared" si="1"/>
        <v>24.766925334945636</v>
      </c>
      <c r="W7" s="4">
        <f t="shared" si="2"/>
        <v>21.05188653470379</v>
      </c>
    </row>
    <row r="8" spans="2:23" x14ac:dyDescent="0.3">
      <c r="B8" s="81" t="s">
        <v>71</v>
      </c>
      <c r="C8" s="81"/>
      <c r="D8" s="81"/>
      <c r="E8" s="81"/>
      <c r="F8" s="81"/>
      <c r="G8" s="80" t="s">
        <v>95</v>
      </c>
      <c r="H8" s="97">
        <v>96.839722360782176</v>
      </c>
      <c r="I8" s="97">
        <v>88.514528269267828</v>
      </c>
      <c r="N8" s="109" t="s">
        <v>22</v>
      </c>
      <c r="O8" s="110" t="s">
        <v>262</v>
      </c>
      <c r="P8" s="2">
        <v>123.39746220558699</v>
      </c>
      <c r="Q8" s="2">
        <v>16.5</v>
      </c>
      <c r="R8" s="1">
        <v>2.1990696714046782</v>
      </c>
      <c r="S8" s="4">
        <f t="shared" si="0"/>
        <v>139.89746220558698</v>
      </c>
      <c r="T8" s="4">
        <f>S8/C$36</f>
        <v>142.75251245468058</v>
      </c>
      <c r="U8" s="4">
        <f>T8*$C$30/1000+R8*C$34/1000</f>
        <v>45.058138360685092</v>
      </c>
      <c r="V8" s="4">
        <f t="shared" si="1"/>
        <v>40.96194396425917</v>
      </c>
      <c r="W8" s="76">
        <f t="shared" si="2"/>
        <v>34.817652369620291</v>
      </c>
    </row>
    <row r="9" spans="2:23" x14ac:dyDescent="0.3">
      <c r="B9" s="81" t="s">
        <v>243</v>
      </c>
      <c r="C9" s="81"/>
      <c r="D9" s="81"/>
      <c r="E9" s="81"/>
      <c r="F9" s="81"/>
      <c r="G9" s="80" t="s">
        <v>95</v>
      </c>
      <c r="H9" s="97">
        <v>48.63410511864155</v>
      </c>
      <c r="I9" s="97">
        <v>20.899146092495229</v>
      </c>
      <c r="N9" s="109"/>
      <c r="O9" s="110" t="s">
        <v>96</v>
      </c>
      <c r="P9" s="2">
        <v>111.92891503652041</v>
      </c>
      <c r="Q9" s="2">
        <v>16.500000000000004</v>
      </c>
      <c r="R9" s="1">
        <v>2.456088010255816</v>
      </c>
      <c r="S9" s="4">
        <f t="shared" si="0"/>
        <v>128.42891503652041</v>
      </c>
      <c r="T9" s="4">
        <f>S9/C$36</f>
        <v>131.04991330257184</v>
      </c>
      <c r="U9" s="4">
        <f>T9*$C$30/1000+R9*C$34/1000</f>
        <v>41.524401335550891</v>
      </c>
      <c r="V9" s="4">
        <f t="shared" si="1"/>
        <v>37.749455759591719</v>
      </c>
      <c r="W9" s="4">
        <f t="shared" si="2"/>
        <v>32.087037395652963</v>
      </c>
    </row>
    <row r="10" spans="2:23" x14ac:dyDescent="0.3">
      <c r="B10" s="81" t="s">
        <v>244</v>
      </c>
      <c r="C10" s="81"/>
      <c r="D10" s="81"/>
      <c r="E10" s="81"/>
      <c r="F10" s="81"/>
      <c r="G10" s="80" t="s">
        <v>95</v>
      </c>
      <c r="H10" s="97">
        <v>1.7292513020497582</v>
      </c>
      <c r="I10" s="97">
        <v>7.7426107989228346E-2</v>
      </c>
      <c r="N10" s="109"/>
      <c r="O10" s="110" t="s">
        <v>97</v>
      </c>
      <c r="P10" s="2">
        <v>56.302405988853621</v>
      </c>
      <c r="Q10" s="2">
        <v>16.5</v>
      </c>
      <c r="R10" s="1">
        <v>2.6120982917589441</v>
      </c>
      <c r="S10" s="4">
        <f t="shared" si="0"/>
        <v>72.802405988853621</v>
      </c>
      <c r="T10" s="4">
        <f>S10/C$36</f>
        <v>74.288169376381248</v>
      </c>
      <c r="U10" s="4">
        <f>T10*$C$30/1000+R10*C$34/1000</f>
        <v>23.98536048146196</v>
      </c>
      <c r="V10" s="4">
        <f t="shared" si="1"/>
        <v>21.804873164965418</v>
      </c>
      <c r="W10" s="4">
        <f t="shared" si="2"/>
        <v>18.534142190220606</v>
      </c>
    </row>
    <row r="11" spans="2:23" x14ac:dyDescent="0.3">
      <c r="B11" s="81" t="s">
        <v>245</v>
      </c>
      <c r="C11" s="81"/>
      <c r="D11" s="81"/>
      <c r="E11" s="81"/>
      <c r="F11" s="81"/>
      <c r="G11" s="80" t="s">
        <v>95</v>
      </c>
      <c r="H11" s="97">
        <v>34.548563180842756</v>
      </c>
      <c r="I11" s="97">
        <v>5.8381374984485923</v>
      </c>
    </row>
    <row r="12" spans="2:23" x14ac:dyDescent="0.3">
      <c r="B12" s="81" t="s">
        <v>246</v>
      </c>
      <c r="C12" s="81"/>
      <c r="D12" s="81"/>
      <c r="E12" s="81"/>
      <c r="F12" s="81"/>
      <c r="G12" s="80" t="s">
        <v>95</v>
      </c>
      <c r="H12" s="97">
        <v>7.1651883661885112</v>
      </c>
      <c r="I12" s="97">
        <v>27.039400954501179</v>
      </c>
    </row>
    <row r="13" spans="2:23" x14ac:dyDescent="0.3">
      <c r="B13" s="81" t="s">
        <v>247</v>
      </c>
      <c r="C13" s="81"/>
      <c r="D13" s="81"/>
      <c r="E13" s="81"/>
      <c r="F13" s="81"/>
      <c r="G13" s="80" t="s">
        <v>95</v>
      </c>
      <c r="H13" s="97">
        <v>13.095303863704578</v>
      </c>
      <c r="I13" s="97">
        <v>10.244046489558489</v>
      </c>
    </row>
    <row r="14" spans="2:23" x14ac:dyDescent="0.3">
      <c r="B14" s="86" t="s">
        <v>248</v>
      </c>
      <c r="C14" s="86"/>
      <c r="D14" s="86"/>
      <c r="E14" s="86"/>
      <c r="F14" s="86"/>
      <c r="G14" s="87" t="s">
        <v>95</v>
      </c>
      <c r="H14" s="98">
        <v>202.01213419220934</v>
      </c>
      <c r="I14" s="98">
        <v>152.61268541226053</v>
      </c>
    </row>
    <row r="15" spans="2:23" x14ac:dyDescent="0.3">
      <c r="B15" s="88"/>
      <c r="C15" s="88"/>
      <c r="D15" s="88"/>
      <c r="E15" s="88"/>
      <c r="F15" s="88"/>
      <c r="G15" s="88"/>
      <c r="H15" s="88"/>
      <c r="I15" s="88"/>
    </row>
    <row r="16" spans="2:23" x14ac:dyDescent="0.3">
      <c r="B16" s="88"/>
      <c r="C16" s="88"/>
      <c r="D16" s="88"/>
      <c r="E16" s="88"/>
      <c r="F16" s="88"/>
      <c r="G16" s="77" t="s">
        <v>249</v>
      </c>
      <c r="H16" s="97">
        <v>20.678863793754342</v>
      </c>
      <c r="I16" s="97">
        <v>18.901126823034645</v>
      </c>
    </row>
    <row r="17" spans="2:9" x14ac:dyDescent="0.3">
      <c r="B17" s="88"/>
      <c r="C17" s="88"/>
      <c r="D17" s="88"/>
      <c r="E17" s="88"/>
      <c r="F17" s="88"/>
      <c r="G17" s="77" t="s">
        <v>249</v>
      </c>
      <c r="H17" s="97">
        <v>14.217207949332485</v>
      </c>
      <c r="I17" s="97">
        <v>6.1094473772191291</v>
      </c>
    </row>
    <row r="18" spans="2:9" x14ac:dyDescent="0.3">
      <c r="B18" s="88"/>
      <c r="C18" s="88"/>
      <c r="D18" s="88"/>
      <c r="E18" s="88"/>
      <c r="F18" s="88"/>
      <c r="G18" s="77" t="s">
        <v>249</v>
      </c>
      <c r="H18" s="97">
        <v>0.72434878540260272</v>
      </c>
      <c r="I18" s="97">
        <v>3.2432248114527967E-2</v>
      </c>
    </row>
    <row r="19" spans="2:9" x14ac:dyDescent="0.3">
      <c r="B19" s="88"/>
      <c r="C19" s="88"/>
      <c r="D19" s="88"/>
      <c r="E19" s="88"/>
      <c r="F19" s="88"/>
      <c r="G19" s="77" t="s">
        <v>249</v>
      </c>
      <c r="H19" s="97">
        <v>0.54386348159282671</v>
      </c>
      <c r="I19" s="97">
        <v>9.1903960500577753E-2</v>
      </c>
    </row>
    <row r="20" spans="2:9" x14ac:dyDescent="0.3">
      <c r="B20" s="88"/>
      <c r="C20" s="88"/>
      <c r="D20" s="88"/>
      <c r="E20" s="88"/>
      <c r="F20" s="88"/>
      <c r="G20" s="77" t="s">
        <v>249</v>
      </c>
      <c r="H20" s="97">
        <v>1.2037516455196697</v>
      </c>
      <c r="I20" s="97">
        <v>4.5426193603561984</v>
      </c>
    </row>
    <row r="21" spans="2:9" x14ac:dyDescent="0.3">
      <c r="B21" s="88"/>
      <c r="C21" s="88"/>
      <c r="D21" s="88"/>
      <c r="E21" s="88"/>
      <c r="F21" s="88"/>
      <c r="G21" s="77" t="s">
        <v>249</v>
      </c>
      <c r="H21" s="97">
        <v>4.7928812141158756</v>
      </c>
      <c r="I21" s="97">
        <v>3.7493210151784071</v>
      </c>
    </row>
    <row r="22" spans="2:9" x14ac:dyDescent="0.3">
      <c r="B22" s="88"/>
      <c r="C22" s="88"/>
      <c r="D22" s="88"/>
      <c r="E22" s="88"/>
      <c r="F22" s="112" t="s">
        <v>250</v>
      </c>
      <c r="G22" s="77" t="s">
        <v>249</v>
      </c>
      <c r="H22" s="98">
        <v>42.160916869717802</v>
      </c>
      <c r="I22" s="98">
        <v>33.426850784403484</v>
      </c>
    </row>
    <row r="23" spans="2:9" x14ac:dyDescent="0.3">
      <c r="B23" s="88"/>
      <c r="C23" s="88"/>
      <c r="D23" s="88"/>
      <c r="E23" s="88"/>
      <c r="F23" s="112" t="s">
        <v>247</v>
      </c>
      <c r="G23" s="77" t="s">
        <v>249</v>
      </c>
      <c r="H23" s="89">
        <f>AVERAGE(R5:R7)*C34/1000</f>
        <v>1.852458644623699</v>
      </c>
      <c r="I23" s="89">
        <f>AVERAGE(R8:R10)*C34/1000</f>
        <v>0.88660522875717152</v>
      </c>
    </row>
    <row r="24" spans="2:9" x14ac:dyDescent="0.3">
      <c r="B24" s="88"/>
      <c r="C24" s="88"/>
      <c r="D24" s="88"/>
      <c r="E24" s="88"/>
      <c r="F24" s="112" t="s">
        <v>251</v>
      </c>
      <c r="G24" s="77" t="s">
        <v>249</v>
      </c>
      <c r="H24" s="89">
        <f>H22+H23</f>
        <v>44.013375514341504</v>
      </c>
      <c r="I24" s="89">
        <f>I22+I23</f>
        <v>34.313456013160653</v>
      </c>
    </row>
    <row r="25" spans="2:9" x14ac:dyDescent="0.3">
      <c r="B25" s="88"/>
      <c r="C25" s="88"/>
      <c r="D25" s="88"/>
      <c r="E25" s="88"/>
      <c r="F25" s="112" t="s">
        <v>252</v>
      </c>
      <c r="G25" s="77" t="s">
        <v>249</v>
      </c>
      <c r="H25" s="90">
        <f>H24/1.1</f>
        <v>40.012159558492272</v>
      </c>
      <c r="I25" s="90">
        <f>I24/1.1</f>
        <v>31.194050921055137</v>
      </c>
    </row>
    <row r="26" spans="2:9" x14ac:dyDescent="0.3">
      <c r="B26" s="88"/>
      <c r="C26" s="88"/>
      <c r="D26" s="88"/>
      <c r="E26" s="88"/>
      <c r="F26" s="112" t="s">
        <v>253</v>
      </c>
      <c r="G26" s="77" t="s">
        <v>249</v>
      </c>
      <c r="H26" s="91">
        <f>H25*0.85</f>
        <v>34.010335624718429</v>
      </c>
      <c r="I26" s="91">
        <f>I25*0.85</f>
        <v>26.514943282896866</v>
      </c>
    </row>
    <row r="27" spans="2:9" x14ac:dyDescent="0.3">
      <c r="B27" s="88"/>
      <c r="C27" s="88"/>
      <c r="D27" s="88"/>
      <c r="E27" s="88"/>
      <c r="F27" s="88"/>
      <c r="G27" s="88"/>
      <c r="H27" s="88"/>
      <c r="I27" s="88"/>
    </row>
    <row r="28" spans="2:9" ht="28.8" x14ac:dyDescent="0.3">
      <c r="B28" s="100"/>
      <c r="C28" s="101" t="s">
        <v>254</v>
      </c>
      <c r="D28" s="36"/>
      <c r="E28" s="36"/>
      <c r="F28" s="36"/>
      <c r="G28" s="88"/>
      <c r="H28" s="88"/>
      <c r="I28" s="88"/>
    </row>
    <row r="29" spans="2:9" x14ac:dyDescent="0.3">
      <c r="B29" s="102" t="s">
        <v>255</v>
      </c>
      <c r="C29" s="103">
        <v>237</v>
      </c>
      <c r="D29" s="88"/>
      <c r="E29" s="88"/>
      <c r="F29" s="88"/>
      <c r="G29" s="88"/>
      <c r="H29" s="88"/>
      <c r="I29" s="88"/>
    </row>
    <row r="30" spans="2:9" x14ac:dyDescent="0.3">
      <c r="B30" s="102" t="s">
        <v>256</v>
      </c>
      <c r="C30" s="103">
        <v>310</v>
      </c>
      <c r="D30" s="88"/>
      <c r="E30" s="88"/>
      <c r="F30" s="88"/>
      <c r="G30" s="88"/>
      <c r="H30" s="88"/>
      <c r="I30" s="88"/>
    </row>
    <row r="31" spans="2:9" x14ac:dyDescent="0.3">
      <c r="B31" s="102" t="s">
        <v>257</v>
      </c>
      <c r="C31" s="103">
        <v>448</v>
      </c>
      <c r="D31" s="88"/>
      <c r="E31" s="88"/>
      <c r="F31" s="88"/>
      <c r="G31" s="88"/>
      <c r="H31" s="88"/>
      <c r="I31" s="88"/>
    </row>
    <row r="32" spans="2:9" x14ac:dyDescent="0.3">
      <c r="B32" s="102" t="s">
        <v>258</v>
      </c>
      <c r="C32" s="103">
        <v>17</v>
      </c>
      <c r="D32" s="88"/>
      <c r="E32" s="88"/>
      <c r="F32" s="88"/>
      <c r="G32" s="88"/>
      <c r="H32" s="88"/>
      <c r="I32" s="88"/>
    </row>
    <row r="33" spans="2:9" x14ac:dyDescent="0.3">
      <c r="B33" s="102" t="s">
        <v>259</v>
      </c>
      <c r="C33" s="103">
        <v>168</v>
      </c>
      <c r="D33" s="88"/>
      <c r="E33" s="88"/>
      <c r="F33" s="88"/>
      <c r="G33" s="88"/>
      <c r="H33" s="88"/>
      <c r="I33" s="88"/>
    </row>
    <row r="34" spans="2:9" x14ac:dyDescent="0.3">
      <c r="B34" s="102" t="s">
        <v>260</v>
      </c>
      <c r="C34" s="103">
        <v>366</v>
      </c>
      <c r="D34" s="88"/>
      <c r="E34" s="88"/>
      <c r="F34" s="88"/>
      <c r="G34" s="88"/>
      <c r="H34" s="88"/>
      <c r="I34" s="88"/>
    </row>
    <row r="35" spans="2:9" x14ac:dyDescent="0.3">
      <c r="B35" s="88"/>
      <c r="C35" s="88"/>
      <c r="D35" s="88"/>
      <c r="E35" s="88"/>
      <c r="F35" s="88"/>
      <c r="G35" s="88"/>
      <c r="H35" s="88"/>
      <c r="I35" s="88"/>
    </row>
    <row r="36" spans="2:9" ht="41.4" x14ac:dyDescent="0.3">
      <c r="B36" s="99" t="s">
        <v>239</v>
      </c>
      <c r="C36" s="92">
        <v>0.98</v>
      </c>
      <c r="D36" s="88"/>
      <c r="E36" s="88"/>
      <c r="F36" s="88"/>
      <c r="G36" s="88"/>
      <c r="H36" s="88"/>
      <c r="I36" s="88"/>
    </row>
    <row r="37" spans="2:9" x14ac:dyDescent="0.3">
      <c r="B37" s="88"/>
      <c r="C37" s="88"/>
      <c r="D37" s="88"/>
      <c r="E37" s="88"/>
      <c r="F37" s="88"/>
      <c r="G37" s="88"/>
      <c r="H37" s="88"/>
      <c r="I37" s="88"/>
    </row>
    <row r="40" spans="2:9" x14ac:dyDescent="0.3">
      <c r="B40" t="s">
        <v>267</v>
      </c>
    </row>
  </sheetData>
  <mergeCells count="16">
    <mergeCell ref="U3:W3"/>
    <mergeCell ref="B12:F12"/>
    <mergeCell ref="B13:F13"/>
    <mergeCell ref="B14:F14"/>
    <mergeCell ref="B4:F4"/>
    <mergeCell ref="B5:F5"/>
    <mergeCell ref="B6:F6"/>
    <mergeCell ref="B7:F7"/>
    <mergeCell ref="B8:F8"/>
    <mergeCell ref="B9:F9"/>
    <mergeCell ref="N5:N7"/>
    <mergeCell ref="N8:N10"/>
    <mergeCell ref="P2:Q2"/>
    <mergeCell ref="B10:F10"/>
    <mergeCell ref="B11:F11"/>
    <mergeCell ref="H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9373-3C15-4119-82EB-306DD2CC435A}">
  <dimension ref="A1:L68"/>
  <sheetViews>
    <sheetView zoomScaleNormal="100" workbookViewId="0"/>
  </sheetViews>
  <sheetFormatPr defaultColWidth="11.5546875" defaultRowHeight="14.4" x14ac:dyDescent="0.3"/>
  <cols>
    <col min="1" max="1" width="20.77734375" customWidth="1"/>
    <col min="2" max="2" width="28.44140625" customWidth="1"/>
    <col min="3" max="3" width="14" customWidth="1"/>
    <col min="10" max="10" width="42.33203125" bestFit="1" customWidth="1"/>
  </cols>
  <sheetData>
    <row r="1" spans="1:12" x14ac:dyDescent="0.3">
      <c r="A1" t="s">
        <v>264</v>
      </c>
    </row>
    <row r="4" spans="1:12" x14ac:dyDescent="0.3">
      <c r="A4" s="113" t="s">
        <v>21</v>
      </c>
      <c r="B4" s="113"/>
      <c r="C4" s="119" t="s">
        <v>17</v>
      </c>
      <c r="D4" s="119"/>
      <c r="E4" s="119"/>
      <c r="F4" s="119"/>
      <c r="G4" s="119" t="s">
        <v>20</v>
      </c>
      <c r="H4" s="119"/>
      <c r="I4" s="119"/>
      <c r="J4" s="120" t="s">
        <v>263</v>
      </c>
    </row>
    <row r="5" spans="1:12" x14ac:dyDescent="0.3">
      <c r="A5" s="113"/>
      <c r="B5" s="113"/>
      <c r="C5" s="134" t="s">
        <v>14</v>
      </c>
      <c r="D5" s="134" t="s">
        <v>15</v>
      </c>
      <c r="E5" s="134" t="s">
        <v>79</v>
      </c>
      <c r="F5" s="134" t="s">
        <v>16</v>
      </c>
      <c r="G5" s="134" t="s">
        <v>14</v>
      </c>
      <c r="H5" s="134" t="s">
        <v>79</v>
      </c>
      <c r="I5" s="134" t="s">
        <v>16</v>
      </c>
      <c r="J5" s="120"/>
      <c r="L5" s="26" t="s">
        <v>43</v>
      </c>
    </row>
    <row r="6" spans="1:12" x14ac:dyDescent="0.3">
      <c r="A6" s="120" t="s">
        <v>18</v>
      </c>
      <c r="B6" s="134" t="s">
        <v>1</v>
      </c>
      <c r="C6" s="28">
        <v>425.5</v>
      </c>
      <c r="D6" s="28">
        <v>591.13442850000001</v>
      </c>
      <c r="E6" s="28">
        <v>588.97248049319296</v>
      </c>
      <c r="F6" s="28">
        <v>761.971</v>
      </c>
      <c r="G6" s="4">
        <f>C6/50</f>
        <v>8.51</v>
      </c>
      <c r="H6" s="4">
        <f>E6/50</f>
        <v>11.779449609863859</v>
      </c>
      <c r="I6" s="4">
        <f t="shared" ref="I6:I18" si="0">F6/50</f>
        <v>15.239420000000001</v>
      </c>
      <c r="J6" s="2"/>
      <c r="L6" s="26">
        <v>382</v>
      </c>
    </row>
    <row r="7" spans="1:12" x14ac:dyDescent="0.3">
      <c r="A7" s="120"/>
      <c r="B7" s="134" t="s">
        <v>2</v>
      </c>
      <c r="C7" s="28">
        <v>228.50746724999999</v>
      </c>
      <c r="D7" s="28">
        <v>649.59988399999997</v>
      </c>
      <c r="E7" s="28">
        <v>642.76818092668395</v>
      </c>
      <c r="F7" s="28">
        <v>979.96219599999995</v>
      </c>
      <c r="G7" s="4">
        <f t="shared" ref="G7:G18" si="1">C7/50</f>
        <v>4.5701493449999999</v>
      </c>
      <c r="H7" s="4">
        <f t="shared" ref="H7:H18" si="2">E7/50</f>
        <v>12.85536361853368</v>
      </c>
      <c r="I7" s="4">
        <f t="shared" si="0"/>
        <v>19.599243919999999</v>
      </c>
      <c r="J7" s="2"/>
      <c r="L7" s="26">
        <v>193</v>
      </c>
    </row>
    <row r="8" spans="1:12" x14ac:dyDescent="0.3">
      <c r="A8" s="120"/>
      <c r="B8" s="134" t="s">
        <v>3</v>
      </c>
      <c r="C8" s="28">
        <v>220</v>
      </c>
      <c r="D8" s="28">
        <v>361.53147485</v>
      </c>
      <c r="E8" s="28">
        <v>397.63088584624899</v>
      </c>
      <c r="F8" s="28">
        <v>589.12645299999997</v>
      </c>
      <c r="G8" s="4">
        <f t="shared" si="1"/>
        <v>4.4000000000000004</v>
      </c>
      <c r="H8" s="4">
        <f t="shared" si="2"/>
        <v>7.9526177169249799</v>
      </c>
      <c r="I8" s="4">
        <f t="shared" si="0"/>
        <v>11.78252906</v>
      </c>
      <c r="J8" s="2"/>
      <c r="L8" s="26">
        <v>40</v>
      </c>
    </row>
    <row r="9" spans="1:12" x14ac:dyDescent="0.3">
      <c r="A9" s="120"/>
      <c r="B9" s="134" t="s">
        <v>4</v>
      </c>
      <c r="C9" s="28">
        <v>370.01868180000002</v>
      </c>
      <c r="D9" s="28">
        <v>535.40114900000003</v>
      </c>
      <c r="E9" s="28">
        <v>502.89978438947298</v>
      </c>
      <c r="F9" s="28">
        <v>629.42962599999998</v>
      </c>
      <c r="G9" s="4">
        <f t="shared" si="1"/>
        <v>7.4003736360000003</v>
      </c>
      <c r="H9" s="4">
        <f t="shared" si="2"/>
        <v>10.057995687789459</v>
      </c>
      <c r="I9" s="4">
        <f t="shared" si="0"/>
        <v>12.588592519999999</v>
      </c>
      <c r="J9" s="2"/>
      <c r="L9" s="26">
        <v>19</v>
      </c>
    </row>
    <row r="10" spans="1:12" x14ac:dyDescent="0.3">
      <c r="A10" s="120" t="s">
        <v>19</v>
      </c>
      <c r="B10" s="134" t="s">
        <v>5</v>
      </c>
      <c r="C10" s="28">
        <v>106.87967265</v>
      </c>
      <c r="D10" s="28">
        <v>426.71363444999997</v>
      </c>
      <c r="E10" s="28">
        <v>573.46514913859596</v>
      </c>
      <c r="F10" s="28">
        <v>899.65072650000002</v>
      </c>
      <c r="G10" s="4">
        <f t="shared" si="1"/>
        <v>2.137593453</v>
      </c>
      <c r="H10" s="4">
        <f t="shared" si="2"/>
        <v>11.46930298277192</v>
      </c>
      <c r="I10" s="4">
        <f t="shared" si="0"/>
        <v>17.99301453</v>
      </c>
      <c r="J10" s="2"/>
      <c r="L10" s="26">
        <v>57</v>
      </c>
    </row>
    <row r="11" spans="1:12" x14ac:dyDescent="0.3">
      <c r="A11" s="120"/>
      <c r="B11" s="134" t="s">
        <v>6</v>
      </c>
      <c r="C11" s="28">
        <v>305.5</v>
      </c>
      <c r="D11" s="28">
        <v>969.9268945</v>
      </c>
      <c r="E11" s="28">
        <v>778.48775533333298</v>
      </c>
      <c r="F11" s="28">
        <v>1060.0363715000001</v>
      </c>
      <c r="G11" s="4">
        <f t="shared" si="1"/>
        <v>6.11</v>
      </c>
      <c r="H11" s="4">
        <f t="shared" si="2"/>
        <v>15.56975510666666</v>
      </c>
      <c r="I11" s="4">
        <f t="shared" si="0"/>
        <v>21.200727430000001</v>
      </c>
      <c r="J11" s="2" t="s">
        <v>178</v>
      </c>
      <c r="L11" s="26">
        <v>3</v>
      </c>
    </row>
    <row r="12" spans="1:12" x14ac:dyDescent="0.3">
      <c r="A12" s="120"/>
      <c r="B12" s="134" t="s">
        <v>7</v>
      </c>
      <c r="C12" s="28">
        <v>264.69302590000001</v>
      </c>
      <c r="D12" s="28">
        <v>476.99999999999898</v>
      </c>
      <c r="E12" s="28">
        <v>693.14127412000005</v>
      </c>
      <c r="F12" s="28">
        <v>1341.40798</v>
      </c>
      <c r="G12" s="4">
        <f t="shared" si="1"/>
        <v>5.2938605179999998</v>
      </c>
      <c r="H12" s="4">
        <f t="shared" si="2"/>
        <v>13.862825482400002</v>
      </c>
      <c r="I12" s="4">
        <f t="shared" si="0"/>
        <v>26.828159599999999</v>
      </c>
      <c r="J12" s="2"/>
      <c r="L12" s="26">
        <v>25</v>
      </c>
    </row>
    <row r="13" spans="1:12" x14ac:dyDescent="0.3">
      <c r="A13" s="120"/>
      <c r="B13" s="134" t="s">
        <v>8</v>
      </c>
      <c r="C13" s="28">
        <v>556.774496</v>
      </c>
      <c r="D13" s="28">
        <v>782.75489500000003</v>
      </c>
      <c r="E13" s="28">
        <v>782.75489500000003</v>
      </c>
      <c r="F13" s="28">
        <v>1008.735294</v>
      </c>
      <c r="G13" s="4">
        <f t="shared" si="1"/>
        <v>11.135489919999999</v>
      </c>
      <c r="H13" s="4">
        <f t="shared" si="2"/>
        <v>15.655097900000001</v>
      </c>
      <c r="I13" s="4">
        <f t="shared" si="0"/>
        <v>20.174705879999998</v>
      </c>
      <c r="J13" s="2" t="s">
        <v>178</v>
      </c>
      <c r="L13" s="26">
        <v>2</v>
      </c>
    </row>
    <row r="14" spans="1:12" x14ac:dyDescent="0.3">
      <c r="A14" s="120"/>
      <c r="B14" s="134" t="s">
        <v>9</v>
      </c>
      <c r="C14" s="28">
        <v>301.8292338</v>
      </c>
      <c r="D14" s="28">
        <v>331.37734315</v>
      </c>
      <c r="E14" s="28">
        <v>347.553312333333</v>
      </c>
      <c r="F14" s="28">
        <v>409.45336005000001</v>
      </c>
      <c r="G14" s="4">
        <f t="shared" si="1"/>
        <v>6.0365846760000004</v>
      </c>
      <c r="H14" s="4">
        <f t="shared" si="2"/>
        <v>6.9510662466666595</v>
      </c>
      <c r="I14" s="4">
        <f t="shared" si="0"/>
        <v>8.1890672010000003</v>
      </c>
      <c r="J14" s="2" t="s">
        <v>178</v>
      </c>
      <c r="L14" s="26">
        <v>3</v>
      </c>
    </row>
    <row r="15" spans="1:12" x14ac:dyDescent="0.3">
      <c r="A15" s="120"/>
      <c r="B15" s="134" t="s">
        <v>10</v>
      </c>
      <c r="C15" s="28">
        <v>390.70173979999998</v>
      </c>
      <c r="D15" s="28">
        <v>590.97850000000005</v>
      </c>
      <c r="E15" s="28">
        <v>553.62136794230696</v>
      </c>
      <c r="F15" s="28">
        <v>690.17644999999902</v>
      </c>
      <c r="G15" s="4">
        <f t="shared" si="1"/>
        <v>7.8140347959999996</v>
      </c>
      <c r="H15" s="4">
        <f t="shared" si="2"/>
        <v>11.07242735884614</v>
      </c>
      <c r="I15" s="4">
        <f t="shared" si="0"/>
        <v>13.80352899999998</v>
      </c>
      <c r="J15" s="2"/>
      <c r="L15" s="26">
        <v>13</v>
      </c>
    </row>
    <row r="16" spans="1:12" x14ac:dyDescent="0.3">
      <c r="A16" s="120"/>
      <c r="B16" s="134" t="s">
        <v>11</v>
      </c>
      <c r="C16" s="28">
        <v>348</v>
      </c>
      <c r="D16" s="28">
        <v>457.5</v>
      </c>
      <c r="E16" s="28">
        <v>445.5</v>
      </c>
      <c r="F16" s="28">
        <v>489</v>
      </c>
      <c r="G16" s="4">
        <f t="shared" si="1"/>
        <v>6.96</v>
      </c>
      <c r="H16" s="4">
        <f>E16/50</f>
        <v>8.91</v>
      </c>
      <c r="I16" s="4">
        <f t="shared" si="0"/>
        <v>9.7799999999999994</v>
      </c>
      <c r="J16" s="2" t="s">
        <v>178</v>
      </c>
      <c r="K16" s="6"/>
      <c r="L16" s="26">
        <v>1</v>
      </c>
    </row>
    <row r="17" spans="1:12" x14ac:dyDescent="0.3">
      <c r="A17" s="120"/>
      <c r="B17" s="134" t="s">
        <v>12</v>
      </c>
      <c r="C17" s="28">
        <v>810</v>
      </c>
      <c r="D17" s="28">
        <v>810</v>
      </c>
      <c r="E17" s="28">
        <v>810</v>
      </c>
      <c r="F17" s="28">
        <v>810</v>
      </c>
      <c r="G17" s="4">
        <f t="shared" si="1"/>
        <v>16.2</v>
      </c>
      <c r="H17" s="4">
        <f t="shared" si="2"/>
        <v>16.2</v>
      </c>
      <c r="I17" s="4">
        <f t="shared" si="0"/>
        <v>16.2</v>
      </c>
      <c r="J17" s="2" t="s">
        <v>178</v>
      </c>
      <c r="L17" s="26">
        <v>1</v>
      </c>
    </row>
    <row r="18" spans="1:12" x14ac:dyDescent="0.3">
      <c r="A18" s="120"/>
      <c r="B18" s="134" t="s">
        <v>13</v>
      </c>
      <c r="C18" s="28">
        <v>314.5</v>
      </c>
      <c r="D18" s="28">
        <v>365</v>
      </c>
      <c r="E18" s="28">
        <v>380.76225355999998</v>
      </c>
      <c r="F18" s="28">
        <v>490</v>
      </c>
      <c r="G18" s="4">
        <f t="shared" si="1"/>
        <v>6.29</v>
      </c>
      <c r="H18" s="4">
        <f t="shared" si="2"/>
        <v>7.6152450711999995</v>
      </c>
      <c r="I18" s="4">
        <f t="shared" si="0"/>
        <v>9.8000000000000007</v>
      </c>
      <c r="J18" s="2" t="s">
        <v>178</v>
      </c>
      <c r="L18" s="26">
        <v>5</v>
      </c>
    </row>
    <row r="21" spans="1:12" x14ac:dyDescent="0.3">
      <c r="A21" t="s">
        <v>27</v>
      </c>
      <c r="B21" t="s">
        <v>17</v>
      </c>
      <c r="C21" t="s">
        <v>20</v>
      </c>
    </row>
    <row r="22" spans="1:12" x14ac:dyDescent="0.3">
      <c r="A22" t="s">
        <v>36</v>
      </c>
      <c r="B22">
        <v>819.8</v>
      </c>
      <c r="C22" s="3">
        <f>B22/50</f>
        <v>16.396000000000001</v>
      </c>
    </row>
    <row r="23" spans="1:12" x14ac:dyDescent="0.3">
      <c r="A23" t="s">
        <v>37</v>
      </c>
      <c r="B23">
        <v>618.19000000000005</v>
      </c>
      <c r="C23" s="3">
        <f>B23/50</f>
        <v>12.363800000000001</v>
      </c>
    </row>
    <row r="53" spans="1:8" x14ac:dyDescent="0.3">
      <c r="A53" s="5" t="s">
        <v>91</v>
      </c>
    </row>
    <row r="54" spans="1:8" x14ac:dyDescent="0.3">
      <c r="D54" t="s">
        <v>47</v>
      </c>
    </row>
    <row r="55" spans="1:8" ht="28.8" x14ac:dyDescent="0.3">
      <c r="A55" s="26" t="s">
        <v>80</v>
      </c>
      <c r="B55" s="26" t="s">
        <v>81</v>
      </c>
      <c r="C55" s="26" t="s">
        <v>82</v>
      </c>
      <c r="D55" s="27">
        <v>0.5</v>
      </c>
      <c r="E55" s="26" t="s">
        <v>46</v>
      </c>
      <c r="F55" s="26" t="s">
        <v>83</v>
      </c>
      <c r="G55" s="27">
        <v>0.25</v>
      </c>
      <c r="H55" s="27">
        <v>0.75</v>
      </c>
    </row>
    <row r="56" spans="1:8" x14ac:dyDescent="0.3">
      <c r="A56" s="26" t="s">
        <v>84</v>
      </c>
      <c r="B56" s="26">
        <v>1</v>
      </c>
      <c r="C56" s="26">
        <v>368.92602740000001</v>
      </c>
      <c r="D56" s="26">
        <v>368.92602740000001</v>
      </c>
      <c r="E56" s="26">
        <v>368.92602740000001</v>
      </c>
      <c r="F56" s="26">
        <v>368.92602740000001</v>
      </c>
      <c r="G56" s="26">
        <v>368.92602740000001</v>
      </c>
      <c r="H56" s="26">
        <v>368.92602740000001</v>
      </c>
    </row>
    <row r="57" spans="1:8" x14ac:dyDescent="0.3">
      <c r="A57" s="26" t="s">
        <v>85</v>
      </c>
      <c r="B57" s="26">
        <v>3</v>
      </c>
      <c r="C57" s="26">
        <v>305.5</v>
      </c>
      <c r="D57" s="26">
        <v>969.9268945</v>
      </c>
      <c r="E57" s="26">
        <v>778.48775533333298</v>
      </c>
      <c r="F57" s="26">
        <v>1060.0363715000001</v>
      </c>
      <c r="G57" s="26">
        <v>637.71344724999994</v>
      </c>
      <c r="H57" s="26">
        <v>1014.981633</v>
      </c>
    </row>
    <row r="58" spans="1:8" x14ac:dyDescent="0.3">
      <c r="A58" s="26" t="s">
        <v>86</v>
      </c>
      <c r="B58" s="26">
        <v>3</v>
      </c>
      <c r="C58" s="26">
        <v>301.8292338</v>
      </c>
      <c r="D58" s="26">
        <v>331.37734315</v>
      </c>
      <c r="E58" s="26">
        <v>347.553312333333</v>
      </c>
      <c r="F58" s="26">
        <v>409.45336005000001</v>
      </c>
      <c r="G58" s="26">
        <v>316.603288475</v>
      </c>
      <c r="H58" s="26">
        <v>370.41535160000001</v>
      </c>
    </row>
    <row r="59" spans="1:8" x14ac:dyDescent="0.3">
      <c r="A59" s="26" t="s">
        <v>12</v>
      </c>
      <c r="B59" s="26">
        <v>1</v>
      </c>
      <c r="C59" s="26">
        <v>810</v>
      </c>
      <c r="D59" s="26">
        <v>810</v>
      </c>
      <c r="E59" s="26">
        <v>810</v>
      </c>
      <c r="F59" s="26">
        <v>810</v>
      </c>
      <c r="G59" s="26">
        <v>810</v>
      </c>
      <c r="H59" s="26">
        <v>810</v>
      </c>
    </row>
    <row r="60" spans="1:8" x14ac:dyDescent="0.3">
      <c r="A60" s="26" t="s">
        <v>2</v>
      </c>
      <c r="B60" s="26">
        <v>193</v>
      </c>
      <c r="C60" s="26">
        <v>228.50746724999999</v>
      </c>
      <c r="D60" s="26">
        <v>649.59988399999997</v>
      </c>
      <c r="E60" s="26">
        <v>642.76818092668395</v>
      </c>
      <c r="F60" s="26">
        <v>979.96219599999995</v>
      </c>
      <c r="G60" s="26">
        <v>501.887035499999</v>
      </c>
      <c r="H60" s="26">
        <v>763.68372950000003</v>
      </c>
    </row>
    <row r="61" spans="1:8" x14ac:dyDescent="0.3">
      <c r="A61" s="26" t="s">
        <v>5</v>
      </c>
      <c r="B61" s="26">
        <v>57</v>
      </c>
      <c r="C61" s="26">
        <v>106.87967265</v>
      </c>
      <c r="D61" s="26">
        <v>426.71363444999997</v>
      </c>
      <c r="E61" s="26">
        <v>573.46514913859596</v>
      </c>
      <c r="F61" s="26">
        <v>899.65072650000002</v>
      </c>
      <c r="G61" s="26">
        <v>330.59104200000002</v>
      </c>
      <c r="H61" s="26">
        <v>559</v>
      </c>
    </row>
    <row r="62" spans="1:8" x14ac:dyDescent="0.3">
      <c r="A62" s="26" t="s">
        <v>13</v>
      </c>
      <c r="B62" s="26">
        <v>5</v>
      </c>
      <c r="C62" s="26">
        <v>314.5</v>
      </c>
      <c r="D62" s="26">
        <v>365</v>
      </c>
      <c r="E62" s="26">
        <v>380.76225355999998</v>
      </c>
      <c r="F62" s="26">
        <v>490</v>
      </c>
      <c r="G62" s="26">
        <v>329.8112678</v>
      </c>
      <c r="H62" s="26">
        <v>404.5</v>
      </c>
    </row>
    <row r="63" spans="1:8" x14ac:dyDescent="0.3">
      <c r="A63" s="26" t="s">
        <v>87</v>
      </c>
      <c r="B63" s="26">
        <v>13</v>
      </c>
      <c r="C63" s="26">
        <v>390.70173979999998</v>
      </c>
      <c r="D63" s="26">
        <v>590.97850000000005</v>
      </c>
      <c r="E63" s="26">
        <v>553.62136794230696</v>
      </c>
      <c r="F63" s="26">
        <v>690.17644999999902</v>
      </c>
      <c r="G63" s="26">
        <v>511</v>
      </c>
      <c r="H63" s="26">
        <v>618.79840000000002</v>
      </c>
    </row>
    <row r="64" spans="1:8" x14ac:dyDescent="0.3">
      <c r="A64" s="26" t="s">
        <v>3</v>
      </c>
      <c r="B64" s="26">
        <v>40</v>
      </c>
      <c r="C64" s="26">
        <v>220</v>
      </c>
      <c r="D64" s="26">
        <v>361.53147485</v>
      </c>
      <c r="E64" s="26">
        <v>397.63088584624899</v>
      </c>
      <c r="F64" s="26">
        <v>589.12645299999997</v>
      </c>
      <c r="G64" s="26">
        <v>303.13484627499997</v>
      </c>
      <c r="H64" s="26">
        <v>525.86608787499995</v>
      </c>
    </row>
    <row r="65" spans="1:8" x14ac:dyDescent="0.3">
      <c r="A65" s="26" t="s">
        <v>88</v>
      </c>
      <c r="B65" s="26">
        <v>25</v>
      </c>
      <c r="C65" s="26">
        <v>264.69302590000001</v>
      </c>
      <c r="D65" s="26">
        <v>476.99999999999898</v>
      </c>
      <c r="E65" s="26">
        <v>693.14127412000005</v>
      </c>
      <c r="F65" s="26">
        <v>1341.40798</v>
      </c>
      <c r="G65" s="26">
        <v>419.5</v>
      </c>
      <c r="H65" s="26">
        <v>930.115377499999</v>
      </c>
    </row>
    <row r="66" spans="1:8" x14ac:dyDescent="0.3">
      <c r="A66" s="26" t="s">
        <v>89</v>
      </c>
      <c r="B66" s="26">
        <v>19</v>
      </c>
      <c r="C66" s="26">
        <v>370.01868180000002</v>
      </c>
      <c r="D66" s="26">
        <v>535.40114900000003</v>
      </c>
      <c r="E66" s="26">
        <v>502.89978438947298</v>
      </c>
      <c r="F66" s="26">
        <v>629.42962599999998</v>
      </c>
      <c r="G66" s="26">
        <v>411.70235012500001</v>
      </c>
      <c r="H66" s="26">
        <v>567.27258974999995</v>
      </c>
    </row>
    <row r="67" spans="1:8" x14ac:dyDescent="0.3">
      <c r="A67" s="26" t="s">
        <v>1</v>
      </c>
      <c r="B67" s="26">
        <v>382</v>
      </c>
      <c r="C67" s="26">
        <v>425.5</v>
      </c>
      <c r="D67" s="26">
        <v>591.13442850000001</v>
      </c>
      <c r="E67" s="26">
        <v>588.97248049319296</v>
      </c>
      <c r="F67" s="26">
        <v>761.971</v>
      </c>
      <c r="G67" s="26">
        <v>548.98450949999994</v>
      </c>
      <c r="H67" s="26">
        <v>634.66583787499997</v>
      </c>
    </row>
    <row r="68" spans="1:8" x14ac:dyDescent="0.3">
      <c r="A68" s="26" t="s">
        <v>90</v>
      </c>
      <c r="B68" s="26">
        <v>2</v>
      </c>
      <c r="C68" s="26">
        <v>556.774496</v>
      </c>
      <c r="D68" s="26">
        <v>782.75489500000003</v>
      </c>
      <c r="E68" s="26">
        <v>782.75489500000003</v>
      </c>
      <c r="F68" s="26">
        <v>1008.735294</v>
      </c>
      <c r="G68" s="26">
        <v>669.76469550000002</v>
      </c>
      <c r="H68" s="26">
        <v>895.74509450000005</v>
      </c>
    </row>
  </sheetData>
  <mergeCells count="6">
    <mergeCell ref="A10:A18"/>
    <mergeCell ref="C4:F4"/>
    <mergeCell ref="G4:I4"/>
    <mergeCell ref="J4:J5"/>
    <mergeCell ref="A6:A9"/>
    <mergeCell ref="A4:B5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EE09-77D0-42F9-B075-745D346D74E8}">
  <dimension ref="A1"/>
  <sheetViews>
    <sheetView zoomScale="145" zoomScaleNormal="145" workbookViewId="0">
      <selection activeCell="L15" sqref="L15"/>
    </sheetView>
  </sheetViews>
  <sheetFormatPr defaultColWidth="11.5546875" defaultRowHeight="14.4" x14ac:dyDescent="0.3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Benchmarks</vt:lpstr>
      <vt:lpstr>targets</vt:lpstr>
      <vt:lpstr>op_non-res</vt:lpstr>
      <vt:lpstr>op_res</vt:lpstr>
      <vt:lpstr>emb_res_non-res</vt:lpstr>
      <vt:lpstr>Abbildung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Bischof</dc:creator>
  <cp:lastModifiedBy>Guillaume Behem</cp:lastModifiedBy>
  <dcterms:created xsi:type="dcterms:W3CDTF">2015-06-05T18:19:34Z</dcterms:created>
  <dcterms:modified xsi:type="dcterms:W3CDTF">2026-06-18T13:23:51Z</dcterms:modified>
</cp:coreProperties>
</file>